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1BC86F5FEC7F76/"/>
    </mc:Choice>
  </mc:AlternateContent>
  <xr:revisionPtr revIDLastSave="0" documentId="8_{DE178AD5-BFC9-4AFF-80A5-E5628332C358}" xr6:coauthVersionLast="47" xr6:coauthVersionMax="47" xr10:uidLastSave="{00000000-0000-0000-0000-000000000000}"/>
  <bookViews>
    <workbookView xWindow="-110" yWindow="-110" windowWidth="19420" windowHeight="10300" firstSheet="4" activeTab="5" xr2:uid="{00000000-000D-0000-FFFF-FFFF00000000}"/>
  </bookViews>
  <sheets>
    <sheet name="Cover" sheetId="6" r:id="rId1"/>
    <sheet name="PL" sheetId="1" r:id="rId2"/>
    <sheet name="BS" sheetId="2" r:id="rId3"/>
    <sheet name="CF" sheetId="3" r:id="rId4"/>
    <sheet name="Norm" sheetId="4" r:id="rId5"/>
    <sheet name="Ratios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5" l="1"/>
  <c r="E12" i="5"/>
  <c r="C13" i="5"/>
  <c r="C12" i="5"/>
  <c r="B12" i="5"/>
  <c r="B13" i="5"/>
  <c r="B11" i="5"/>
  <c r="E19" i="5"/>
  <c r="C19" i="5"/>
  <c r="B19" i="5"/>
  <c r="B17" i="5"/>
  <c r="B18" i="5"/>
  <c r="C17" i="5"/>
  <c r="D28" i="5"/>
  <c r="D27" i="5"/>
  <c r="D26" i="5"/>
  <c r="D21" i="5"/>
  <c r="D7" i="5"/>
  <c r="D6" i="5"/>
  <c r="D5" i="5"/>
  <c r="B31" i="5"/>
  <c r="B28" i="5"/>
  <c r="B26" i="5"/>
  <c r="B22" i="5"/>
  <c r="B21" i="5"/>
  <c r="B7" i="5"/>
  <c r="B6" i="5"/>
  <c r="B5" i="5"/>
  <c r="C31" i="5"/>
  <c r="B55" i="2"/>
  <c r="C7" i="5"/>
  <c r="C6" i="5"/>
  <c r="C5" i="5"/>
  <c r="E5" i="5"/>
  <c r="E31" i="5"/>
  <c r="E26" i="5"/>
  <c r="E28" i="5"/>
  <c r="E17" i="5"/>
  <c r="E18" i="5"/>
  <c r="E21" i="5"/>
  <c r="E22" i="5"/>
  <c r="E11" i="5"/>
  <c r="E6" i="5"/>
  <c r="E7" i="5"/>
  <c r="C32" i="5"/>
  <c r="C28" i="5"/>
  <c r="C27" i="5"/>
  <c r="C26" i="5"/>
  <c r="C22" i="5"/>
  <c r="C21" i="5"/>
  <c r="C18" i="5"/>
  <c r="C11" i="5"/>
  <c r="C55" i="2"/>
  <c r="D55" i="2"/>
  <c r="B44" i="4"/>
  <c r="C30" i="4"/>
  <c r="C45" i="4"/>
  <c r="B45" i="4"/>
  <c r="C51" i="2"/>
  <c r="D51" i="2"/>
  <c r="B51" i="2"/>
  <c r="F19" i="1"/>
  <c r="F20" i="1"/>
  <c r="E19" i="1"/>
  <c r="E20" i="1"/>
  <c r="C20" i="1"/>
  <c r="D20" i="1"/>
  <c r="C19" i="1"/>
  <c r="D19" i="1"/>
  <c r="B20" i="1"/>
  <c r="B19" i="1"/>
  <c r="B14" i="4"/>
  <c r="C14" i="4" s="1"/>
  <c r="B26" i="4"/>
  <c r="E7" i="2"/>
  <c r="H37" i="1"/>
  <c r="I37" i="1"/>
  <c r="G37" i="1"/>
  <c r="H29" i="1"/>
  <c r="I29" i="1"/>
  <c r="G29" i="1"/>
  <c r="H22" i="1"/>
  <c r="I22" i="1"/>
  <c r="G22" i="1"/>
  <c r="G16" i="1"/>
  <c r="H16" i="1"/>
  <c r="I16" i="1"/>
  <c r="H15" i="1"/>
  <c r="I15" i="1"/>
  <c r="G15" i="1"/>
  <c r="H14" i="1"/>
  <c r="I14" i="1"/>
  <c r="G14" i="1"/>
  <c r="H13" i="1"/>
  <c r="I13" i="1"/>
  <c r="G13" i="1"/>
  <c r="I12" i="1"/>
  <c r="H12" i="1"/>
  <c r="G12" i="1"/>
  <c r="H11" i="1"/>
  <c r="I11" i="1"/>
  <c r="G11" i="1"/>
  <c r="F25" i="3"/>
  <c r="E25" i="3"/>
  <c r="E26" i="3"/>
  <c r="F26" i="3"/>
  <c r="E27" i="3"/>
  <c r="F27" i="3"/>
  <c r="E30" i="3"/>
  <c r="F30" i="3"/>
  <c r="E35" i="3"/>
  <c r="F35" i="3"/>
  <c r="E41" i="3"/>
  <c r="F41" i="3"/>
  <c r="E42" i="3"/>
  <c r="F42" i="3"/>
  <c r="E43" i="3"/>
  <c r="F43" i="3"/>
  <c r="E45" i="3"/>
  <c r="F45" i="3"/>
  <c r="E49" i="3"/>
  <c r="F49" i="3"/>
  <c r="F39" i="2"/>
  <c r="E39" i="2"/>
  <c r="E53" i="2"/>
  <c r="F6" i="2"/>
  <c r="F7" i="2"/>
  <c r="F8" i="2"/>
  <c r="F9" i="2"/>
  <c r="F10" i="2"/>
  <c r="F11" i="2"/>
  <c r="F12" i="2"/>
  <c r="E8" i="2"/>
  <c r="E9" i="2"/>
  <c r="E10" i="2"/>
  <c r="E11" i="2"/>
  <c r="E12" i="2"/>
  <c r="E6" i="2"/>
  <c r="F13" i="2"/>
  <c r="F22" i="2"/>
  <c r="F24" i="2"/>
  <c r="F30" i="2"/>
  <c r="F50" i="2"/>
  <c r="F53" i="2"/>
  <c r="E22" i="2"/>
  <c r="E24" i="2"/>
  <c r="E30" i="2"/>
  <c r="E50" i="2"/>
  <c r="E13" i="2"/>
  <c r="F39" i="1"/>
  <c r="E39" i="1"/>
  <c r="F37" i="1"/>
  <c r="E37" i="1"/>
  <c r="F27" i="1"/>
  <c r="E27" i="1"/>
  <c r="F24" i="1"/>
  <c r="E24" i="1"/>
  <c r="F29" i="1"/>
  <c r="E29" i="1"/>
  <c r="F22" i="1"/>
  <c r="E22" i="1"/>
  <c r="E17" i="1"/>
  <c r="F17" i="1"/>
  <c r="F8" i="1"/>
  <c r="E8" i="1"/>
  <c r="B20" i="5" l="1"/>
  <c r="C20" i="5"/>
  <c r="E20" i="5"/>
  <c r="B28" i="4"/>
  <c r="C28" i="4" s="1"/>
  <c r="C26" i="4"/>
  <c r="B30" i="4"/>
</calcChain>
</file>

<file path=xl/sharedStrings.xml><?xml version="1.0" encoding="utf-8"?>
<sst xmlns="http://schemas.openxmlformats.org/spreadsheetml/2006/main" count="294" uniqueCount="260">
  <si>
    <t>BORROWER DETAILS</t>
  </si>
  <si>
    <t>Parameter</t>
  </si>
  <si>
    <t>Details</t>
  </si>
  <si>
    <t>Borrower Name</t>
  </si>
  <si>
    <t>Kovai Medical Centre and Hospital Ltd.</t>
  </si>
  <si>
    <t>Location</t>
  </si>
  <si>
    <t>Coimbatore, Tamil Nadu</t>
  </si>
  <si>
    <t>Borrower Type</t>
  </si>
  <si>
    <t>Private Multi-Specialty Hospital</t>
  </si>
  <si>
    <t>Industry</t>
  </si>
  <si>
    <t>Healthcare / Medical Infrastructure</t>
  </si>
  <si>
    <t>Contact Person</t>
  </si>
  <si>
    <t>—</t>
  </si>
  <si>
    <t>Date of Proposal</t>
  </si>
  <si>
    <t>ASSET DETAILS</t>
  </si>
  <si>
    <t>Asset Description</t>
  </si>
  <si>
    <t>ARTIS icono Biplane Neurovascular Cathlab</t>
  </si>
  <si>
    <t>Manufacturer</t>
  </si>
  <si>
    <t>Siemens Healthineers</t>
  </si>
  <si>
    <t>Asset Type</t>
  </si>
  <si>
    <t>Medical Equipment — Biplane Cathlab</t>
  </si>
  <si>
    <t>Asset Category</t>
  </si>
  <si>
    <t>Neurovascular Imaging System</t>
  </si>
  <si>
    <t>Purpose</t>
  </si>
  <si>
    <t>Diagnostic &amp; Interventional Neurovascular Procedures</t>
  </si>
  <si>
    <t>Asset Location</t>
  </si>
  <si>
    <t>Kovai Medical Centre, Coimbatore</t>
  </si>
  <si>
    <t>LOAN STRUCTURE</t>
  </si>
  <si>
    <t>Loan Amount</t>
  </si>
  <si>
    <t>₹3,000.00 L</t>
  </si>
  <si>
    <t>Interest Rate</t>
  </si>
  <si>
    <t>10.25% per annum</t>
  </si>
  <si>
    <t>Tenure</t>
  </si>
  <si>
    <t>72 Months (6 Years)</t>
  </si>
  <si>
    <t>EMI</t>
  </si>
  <si>
    <t>₹55.96 L per month</t>
  </si>
  <si>
    <t>Repayment Mode</t>
  </si>
  <si>
    <t>Monthly EMI</t>
  </si>
  <si>
    <t>Processing Fee (3%)</t>
  </si>
  <si>
    <t>₹90.00 L</t>
  </si>
  <si>
    <t>Security / Collateral</t>
  </si>
  <si>
    <t>Hypothecation of Cathlab Equipment</t>
  </si>
  <si>
    <t>TOTAL COST OF FINANCE</t>
  </si>
  <si>
    <t>Amount (₹ Lakhs)</t>
  </si>
  <si>
    <t>Principal</t>
  </si>
  <si>
    <t>Total Interest Outflow</t>
  </si>
  <si>
    <t>Processing Fee</t>
  </si>
  <si>
    <t>Total Cost of Finance</t>
  </si>
  <si>
    <t>Total Outflow (Principal + Interest + Fee)</t>
  </si>
  <si>
    <t>STATEMENT OF PROFIT AND LOSS</t>
  </si>
  <si>
    <t>Particulars</t>
  </si>
  <si>
    <t>FY2024 (₹ in Lakhs)</t>
  </si>
  <si>
    <t>FY2025 (₹ in Lakhs)</t>
  </si>
  <si>
    <t>FY2026 (₹ in Lakhs)</t>
  </si>
  <si>
    <t>YoY Growth FY24-25</t>
  </si>
  <si>
    <t>YoY Growth FY25-26</t>
  </si>
  <si>
    <t>Margin FY2024</t>
  </si>
  <si>
    <t>Margin FY2025</t>
  </si>
  <si>
    <t>Margin FY2026</t>
  </si>
  <si>
    <t>INCOME</t>
  </si>
  <si>
    <t>Revenue from Operations</t>
  </si>
  <si>
    <t>Other Operating Income</t>
  </si>
  <si>
    <t>Other Income</t>
  </si>
  <si>
    <t>Total Revenue</t>
  </si>
  <si>
    <t>EXPENSES</t>
  </si>
  <si>
    <t>Cost of Medicines &amp; Hospital Consumables</t>
  </si>
  <si>
    <t>Consulting Charges to Doctors</t>
  </si>
  <si>
    <t>Employee Benefits Expense</t>
  </si>
  <si>
    <t>Finance Costs</t>
  </si>
  <si>
    <t>Depreciation &amp; Amortisation</t>
  </si>
  <si>
    <t>Other Expenses</t>
  </si>
  <si>
    <t>Total Expenses</t>
  </si>
  <si>
    <t>EBIT</t>
  </si>
  <si>
    <t>EBITDA</t>
  </si>
  <si>
    <t>Profit Before Tax</t>
  </si>
  <si>
    <t>Current Tax</t>
  </si>
  <si>
    <t>Prior Year Tax</t>
  </si>
  <si>
    <t>Deferred Tax</t>
  </si>
  <si>
    <t>Total Tax Expense</t>
  </si>
  <si>
    <t>Profit After Tax</t>
  </si>
  <si>
    <t>OTHER COMPREHENSIVE INCOME</t>
  </si>
  <si>
    <t>Remeasurement of post-employment benefit obligations</t>
  </si>
  <si>
    <t>Change in equity instruments (FVOCI)</t>
  </si>
  <si>
    <t>Income tax on OCI items</t>
  </si>
  <si>
    <t>Total OCI</t>
  </si>
  <si>
    <t>Total Comprehensive Income</t>
  </si>
  <si>
    <t>Basic &amp; Diluted EPS (Rs.)</t>
  </si>
  <si>
    <t>Note: FY2024 Other Operating Income not separately disclosed - included within Revenue from Operations.</t>
  </si>
  <si>
    <t>Note: FY2025 Other Expenses classification differs from quarterly format due to dietary consumed reclassification.</t>
  </si>
  <si>
    <t>BALANCE SHEET</t>
  </si>
  <si>
    <t>ASSETS</t>
  </si>
  <si>
    <t>Non-Current Assets</t>
  </si>
  <si>
    <t>Property Plant and Equipment</t>
  </si>
  <si>
    <t>Right of Use Assets</t>
  </si>
  <si>
    <t>Capital Work-in-Progress</t>
  </si>
  <si>
    <t>Intangible Assets</t>
  </si>
  <si>
    <t>Investments</t>
  </si>
  <si>
    <t>Other Financial Assets</t>
  </si>
  <si>
    <t>Other Non-Current Assets</t>
  </si>
  <si>
    <t>Total Non-Current Assets</t>
  </si>
  <si>
    <t>Current Assets</t>
  </si>
  <si>
    <t>Inventories</t>
  </si>
  <si>
    <t>Trade Receivables</t>
  </si>
  <si>
    <t>Cash and Cash Equivalents</t>
  </si>
  <si>
    <t>Bank Balances other than Cash and Cash Equivalents</t>
  </si>
  <si>
    <t>Other Financial Assets (Current)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</si>
  <si>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</si>
  <si>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</si>
  <si>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</si>
  <si>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</si>
  <si>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</si>
  <si>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</si>
  <si>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Other Equity</t>
  </si>
  <si>
    <t>Total Equity</t>
  </si>
  <si>
    <t>Non-Current Liabilities</t>
  </si>
  <si>
    <t>Borrowings (Non-Current)</t>
  </si>
  <si>
    <t>Lease Liabilities (Non-Current)</t>
  </si>
  <si>
    <t>Other Financial Liabilities (Non-Current)</t>
  </si>
  <si>
    <t>Provisions (Non-Current)</t>
  </si>
  <si>
    <t>Deferred Tax Liabilities (Net)</t>
  </si>
  <si>
    <t>Other Non-Current Liabilities</t>
  </si>
  <si>
    <t>Total Non-Current Liabilities</t>
  </si>
  <si>
    <t>Current Liabilities</t>
  </si>
  <si>
    <t>Borrowings (Current)</t>
  </si>
  <si>
    <t>Lease Liabilities (Current)</t>
  </si>
  <si>
    <t>Trade Payables - Micro and Small Enterprises</t>
  </si>
  <si>
    <t>Trade Payables - Others</t>
  </si>
  <si>
    <t>Other Financial Liabilities (Current)</t>
  </si>
  <si>
    <t>Other Current Liabilities</t>
  </si>
  <si>
    <t>Provisions (Current)</t>
  </si>
  <si>
    <t>Current Tax Liabilities</t>
  </si>
  <si>
    <t>Total Current Liabilities</t>
  </si>
  <si>
    <t>Total Liabilities</t>
  </si>
  <si>
    <t>TOTAL EQUITY AND LIABILITIES</t>
  </si>
  <si>
    <t>DEBT</t>
  </si>
  <si>
    <t>Note: FY2025 Total Non-Current Assets per annual report is 146940.07 vs 146947.37 in board outcome - minor restatement difference, annual report figure used.</t>
  </si>
  <si>
    <t>Note: FY2024 Other Financial Assets (Non-Current) of 1498.53 excludes security deposits reclassified in FY2025 presentation.</t>
  </si>
  <si>
    <t>Note: Intangible Assets Under Development first disclosed separately in FY2025; FY2024 figure is nil.</t>
  </si>
  <si>
    <t>CASH FLOW STATEMENT</t>
  </si>
  <si>
    <t>A. CASH FLOW FROM OPERATING ACTIVITIES</t>
  </si>
  <si>
    <t>Adjustments for:</t>
  </si>
  <si>
    <t>Depreciation and Amortisation</t>
  </si>
  <si>
    <t>Exchange Fluctuation Loss/(Gain) Net</t>
  </si>
  <si>
    <t>Finance Cost</t>
  </si>
  <si>
    <t>Dividend Income</t>
  </si>
  <si>
    <t>Interest Income</t>
  </si>
  <si>
    <t xml:space="preserve"> </t>
  </si>
  <si>
    <t>Non Cash Transactions</t>
  </si>
  <si>
    <t>Loss/(Profit) on Sale of PPE (Net)</t>
  </si>
  <si>
    <t>Total Adjustments</t>
  </si>
  <si>
    <t>Operating Profit Before Working Capital Changes</t>
  </si>
  <si>
    <t>(Increase)/Decrease in Non-Current &amp; Current Financial Assets</t>
  </si>
  <si>
    <t>(Increase)/Decrease in Other Non-Current &amp; Current Assets</t>
  </si>
  <si>
    <t>Increase/(Decrease) in Non-Current &amp; Current Financial Liabilities</t>
  </si>
  <si>
    <t>Increase/(Decrease) in Other Non-Current &amp; Current Liabilities</t>
  </si>
  <si>
    <t>Total Working Capital Changes</t>
  </si>
  <si>
    <t>Cash Generated from Operations</t>
  </si>
  <si>
    <t>Income Tax Paid</t>
  </si>
  <si>
    <t>Net Cash from Operating Activities (A)</t>
  </si>
  <si>
    <t>B. CASH FLOW FROM INVESTING ACTIVITIES</t>
  </si>
  <si>
    <t>Purchase of PPE Capital Work-in-Progress and Intangible Assets</t>
  </si>
  <si>
    <t>Proceeds from Sale of PPE</t>
  </si>
  <si>
    <t>Investment in/(Sale of) Equity Instruments</t>
  </si>
  <si>
    <t>Net Cash from/(used in) Investing Activities (B)</t>
  </si>
  <si>
    <t>C. CASH FLOW FROM FINANCING ACTIVITIES</t>
  </si>
  <si>
    <t>Long Term Borrowings Net of Repayment</t>
  </si>
  <si>
    <t>Short Term Borrowings (Net)</t>
  </si>
  <si>
    <t>Repayment of Lease Liabilities</t>
  </si>
  <si>
    <t>Finance Cost Paid</t>
  </si>
  <si>
    <t>Dividend Paid</t>
  </si>
  <si>
    <t>Net Cash from/(used in) Financing Activities (C)</t>
  </si>
  <si>
    <t>Net Increase/(Decrease) in Cash and Cash Equivalents (A+B+C)</t>
  </si>
  <si>
    <t>Cash and Bank Balance at Beginning of Year</t>
  </si>
  <si>
    <t>Less: Bank Balances not considered as Cash and Cash Equivalents (Ind AS 7)</t>
  </si>
  <si>
    <t>Cash and Cash Equivalents at End of Year</t>
  </si>
  <si>
    <t>Note: FY2026 Interest Income of 2097.55 disclosed separately as adjustment item; FY2024 and FY2025 netted within Finance Cost line in those year reports.</t>
  </si>
  <si>
    <t>Note: FY2026 Short Term Borrowings movement is nil as reported in board outcome cash flow.</t>
  </si>
  <si>
    <t>Note: Cash and Bank Balance at beginning of FY2025 (21105.87) differs from end of FY2024 closing balance (5960.21) because opening balance includes restricted bank balances; the reconciliation runs through the Ind AS 7 deduction line.</t>
  </si>
  <si>
    <t xml:space="preserve">Asset Base &amp; Tangible Net Worth </t>
  </si>
  <si>
    <t xml:space="preserve">Adjustment </t>
  </si>
  <si>
    <t xml:space="preserve">Source </t>
  </si>
  <si>
    <t>Reason</t>
  </si>
  <si>
    <t>Disputed Property</t>
  </si>
  <si>
    <t>Note 1 &amp; 2 (Disclosures)</t>
  </si>
  <si>
    <t>Written down to zero due to ongoing High Court stamp duty litigation.</t>
  </si>
  <si>
    <t>Unregistered Auction Assets</t>
  </si>
  <si>
    <t>Written down to zero; title transfer is stalled at the NCLT.</t>
  </si>
  <si>
    <t>Delayed New OPD Block</t>
  </si>
  <si>
    <t>Note 4 (CWIP Aging Schedule)</t>
  </si>
  <si>
    <t>Computer Software &amp; Net Intangibles</t>
  </si>
  <si>
    <t>Note 5 (Intangible Assets)</t>
  </si>
  <si>
    <t>Written down to zero; asset holds zero secondary market liquidation value.</t>
  </si>
  <si>
    <t>Software Under Development</t>
  </si>
  <si>
    <t>Note 6 (Intangibles Under Dev.)</t>
  </si>
  <si>
    <t>Written down to zero; incomplete software assets cannot be liquidated during distress.</t>
  </si>
  <si>
    <t>Capital Advances</t>
  </si>
  <si>
    <t>Note 9 (Other Non-Current Assets)</t>
  </si>
  <si>
    <t>Written down to zero; cash is held by third-party construction vendors and cannot be recalled.</t>
  </si>
  <si>
    <t>Level 3 Corporate Investments</t>
  </si>
  <si>
    <t>Note 7 (Investments)</t>
  </si>
  <si>
    <t>Written down to zero due to restricted transferability.</t>
  </si>
  <si>
    <t>Deposits Paid Under Protest</t>
  </si>
  <si>
    <t>Note 8 (Other Financial Assets)</t>
  </si>
  <si>
    <t>Stripped from assets; cash is locked up in long-term tax and provident fund litigation.</t>
  </si>
  <si>
    <t xml:space="preserve">Adjusted Non-Current Assets Figure </t>
  </si>
  <si>
    <t>Adjustable Non-Current Assets Figure</t>
  </si>
  <si>
    <t>Current Assets and Cash Reserve</t>
  </si>
  <si>
    <t>Restricted Escrow Cash Balances</t>
  </si>
  <si>
    <t>Note 13 (Bank Balances)</t>
  </si>
  <si>
    <t>Deducted from liquid assets; cash is restricted for bank guarantees, dividend accounts, and CSR mandates.</t>
  </si>
  <si>
    <t>Advance Course Student Fees</t>
  </si>
  <si>
    <t>Note 28 (Other Current Liabilities)</t>
  </si>
  <si>
    <t>Isolated from general corporate cash; must be held to fund active academic operations.</t>
  </si>
  <si>
    <t>Unbilled &amp; Aged Receivables</t>
  </si>
  <si>
    <t>Note 11 (Trade Receivables Aging)</t>
  </si>
  <si>
    <t>Written down to zero; excludes unbilled revenue and all balances past due over 6 months from capital calculations.</t>
  </si>
  <si>
    <t xml:space="preserve">Adjusted Figures </t>
  </si>
  <si>
    <t>Total Adjustable Cash</t>
  </si>
  <si>
    <t>Total Adjustable Current Assets</t>
  </si>
  <si>
    <t xml:space="preserve">Total Adjustable Assets </t>
  </si>
  <si>
    <t>Debt &amp; Liability Structure Adjustments</t>
  </si>
  <si>
    <t>Non-Current Lease Liabilities</t>
  </si>
  <si>
    <t>Note 19 (Lease Liabilities)</t>
  </si>
  <si>
    <t>Reclassified as long-term funded debt obligations.</t>
  </si>
  <si>
    <t>Current Lease Liabilities</t>
  </si>
  <si>
    <t>Note 25 (Lease Liabilities)</t>
  </si>
  <si>
    <t>Reclassified as near-term financial debt obligations.</t>
  </si>
  <si>
    <t>Creditors for Capital Goods</t>
  </si>
  <si>
    <t>Note 20 &amp; Note 27 (Financial Liab.)</t>
  </si>
  <si>
    <t>Consolidated and treated as urgent short-term debt; represents expansion costs financed by suppliers.</t>
  </si>
  <si>
    <t>Interest Accrued and Due</t>
  </si>
  <si>
    <t>Note 27 (Other Financial Liab.)</t>
  </si>
  <si>
    <t>Treated as an immediate short-term financial obligation.</t>
  </si>
  <si>
    <t>Total debt (current and non-current)</t>
  </si>
  <si>
    <t>Adjustable Total Debt</t>
  </si>
  <si>
    <t>RATIOS</t>
  </si>
  <si>
    <t xml:space="preserve"> 2025 Adjusted </t>
  </si>
  <si>
    <t>LIQUIDITY</t>
  </si>
  <si>
    <t>CURRENT RATIO</t>
  </si>
  <si>
    <t>QUICK RATIO</t>
  </si>
  <si>
    <t>CASH RATIO</t>
  </si>
  <si>
    <t>PROFITABILITY</t>
  </si>
  <si>
    <t>GROSS MARGIN</t>
  </si>
  <si>
    <t>-</t>
  </si>
  <si>
    <t>OPERATING MARGIN</t>
  </si>
  <si>
    <t>EBITDA MARGIN</t>
  </si>
  <si>
    <t>EFFICIENCY</t>
  </si>
  <si>
    <t>DSO</t>
  </si>
  <si>
    <t>DIO</t>
  </si>
  <si>
    <t>DPO</t>
  </si>
  <si>
    <t>CCC</t>
  </si>
  <si>
    <t>Asset Turnover</t>
  </si>
  <si>
    <t>Capex Intensity</t>
  </si>
  <si>
    <t>LEVERAGE</t>
  </si>
  <si>
    <t>D/E</t>
  </si>
  <si>
    <t>D/Tangible Equity</t>
  </si>
  <si>
    <t>Debt/EBITDA</t>
  </si>
  <si>
    <t>COVERAGE</t>
  </si>
  <si>
    <t xml:space="preserve">ICR </t>
  </si>
  <si>
    <t>DSCR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</si>
</sst>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\-#,##0.00\ "/>
    <numFmt numFmtId="165" formatCode="0.0\x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9"/>
      <color theme="1" tint="0.499984740745262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Aptos Narrow"/>
      <family val="2"/>
    </font>
    <font>
      <b/>
      <sz val="12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sz val="11"/>
      <color theme="0" tint="-0.34998626667073579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13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0"/>
      <name val="Aptos Narrow"/>
      <family val="2"/>
    </font>
    <font>
      <sz val="13"/>
      <color theme="0"/>
      <name val="Aptos Narrow"/>
      <family val="2"/>
    </font>
    <font>
      <b/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Alignment="1">
      <alignment wrapText="1"/>
    </xf>
    <xf numFmtId="39" fontId="0" fillId="0" borderId="0" xfId="0" applyNumberFormat="1" applyAlignment="1">
      <alignment wrapText="1"/>
    </xf>
    <xf numFmtId="39" fontId="0" fillId="0" borderId="0" xfId="0" applyNumberFormat="1"/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vertical="center"/>
    </xf>
    <xf numFmtId="0" fontId="0" fillId="3" borderId="0" xfId="0" applyFill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1" fillId="0" borderId="0" xfId="0" applyFont="1" applyAlignment="1">
      <alignment wrapText="1"/>
    </xf>
    <xf numFmtId="39" fontId="1" fillId="3" borderId="0" xfId="0" applyNumberFormat="1" applyFont="1" applyFill="1"/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3" xfId="0" applyFill="1" applyBorder="1"/>
    <xf numFmtId="39" fontId="1" fillId="3" borderId="3" xfId="0" applyNumberFormat="1" applyFont="1" applyFill="1" applyBorder="1"/>
    <xf numFmtId="0" fontId="0" fillId="3" borderId="2" xfId="0" applyFill="1" applyBorder="1" applyAlignment="1">
      <alignment wrapText="1"/>
    </xf>
    <xf numFmtId="39" fontId="0" fillId="3" borderId="3" xfId="0" applyNumberFormat="1" applyFill="1" applyBorder="1"/>
    <xf numFmtId="39" fontId="1" fillId="3" borderId="1" xfId="0" applyNumberFormat="1" applyFont="1" applyFill="1" applyBorder="1"/>
    <xf numFmtId="39" fontId="0" fillId="0" borderId="1" xfId="0" applyNumberFormat="1" applyBorder="1"/>
    <xf numFmtId="39" fontId="1" fillId="0" borderId="0" xfId="0" applyNumberFormat="1" applyFont="1" applyAlignment="1">
      <alignment wrapText="1"/>
    </xf>
    <xf numFmtId="39" fontId="0" fillId="0" borderId="4" xfId="0" applyNumberFormat="1" applyBorder="1"/>
    <xf numFmtId="10" fontId="0" fillId="0" borderId="0" xfId="0" applyNumberFormat="1"/>
    <xf numFmtId="10" fontId="2" fillId="4" borderId="0" xfId="0" applyNumberFormat="1" applyFont="1" applyFill="1" applyAlignment="1">
      <alignment vertical="center"/>
    </xf>
    <xf numFmtId="0" fontId="2" fillId="4" borderId="0" xfId="0" applyFont="1" applyFill="1" applyAlignment="1">
      <alignment vertical="center"/>
    </xf>
    <xf numFmtId="10" fontId="2" fillId="4" borderId="0" xfId="0" applyNumberFormat="1" applyFont="1" applyFill="1" applyAlignment="1">
      <alignment horizontal="center"/>
    </xf>
    <xf numFmtId="10" fontId="0" fillId="0" borderId="5" xfId="0" applyNumberFormat="1" applyBorder="1"/>
    <xf numFmtId="10" fontId="2" fillId="4" borderId="5" xfId="0" applyNumberFormat="1" applyFont="1" applyFill="1" applyBorder="1" applyAlignment="1">
      <alignment vertical="center"/>
    </xf>
    <xf numFmtId="0" fontId="0" fillId="0" borderId="5" xfId="0" applyBorder="1"/>
    <xf numFmtId="10" fontId="2" fillId="4" borderId="5" xfId="0" applyNumberFormat="1" applyFont="1" applyFill="1" applyBorder="1" applyAlignment="1">
      <alignment horizontal="center"/>
    </xf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4" fontId="5" fillId="0" borderId="0" xfId="0" applyNumberFormat="1" applyFont="1"/>
    <xf numFmtId="0" fontId="5" fillId="0" borderId="0" xfId="0" applyFont="1" applyAlignment="1">
      <alignment wrapText="1"/>
    </xf>
    <xf numFmtId="4" fontId="0" fillId="0" borderId="0" xfId="0" applyNumberFormat="1"/>
    <xf numFmtId="4" fontId="1" fillId="0" borderId="0" xfId="0" applyNumberFormat="1" applyFont="1"/>
    <xf numFmtId="0" fontId="6" fillId="0" borderId="0" xfId="0" applyFont="1" applyAlignment="1">
      <alignment wrapText="1"/>
    </xf>
    <xf numFmtId="4" fontId="0" fillId="3" borderId="0" xfId="0" applyNumberFormat="1" applyFill="1"/>
    <xf numFmtId="0" fontId="4" fillId="3" borderId="0" xfId="0" applyFont="1" applyFill="1"/>
    <xf numFmtId="4" fontId="1" fillId="3" borderId="0" xfId="0" applyNumberFormat="1" applyFont="1" applyFill="1"/>
    <xf numFmtId="0" fontId="8" fillId="3" borderId="0" xfId="0" applyFont="1" applyFill="1"/>
    <xf numFmtId="39" fontId="0" fillId="0" borderId="0" xfId="0" applyNumberFormat="1" applyBorder="1"/>
    <xf numFmtId="0" fontId="4" fillId="0" borderId="0" xfId="0" applyFont="1" applyAlignment="1">
      <alignment wrapText="1"/>
    </xf>
    <xf numFmtId="164" fontId="0" fillId="3" borderId="0" xfId="0" applyNumberFormat="1" applyFill="1"/>
    <xf numFmtId="164" fontId="0" fillId="3" borderId="6" xfId="0" applyNumberFormat="1" applyFill="1" applyBorder="1"/>
    <xf numFmtId="4" fontId="0" fillId="3" borderId="0" xfId="0" applyNumberFormat="1" applyFont="1" applyFill="1"/>
    <xf numFmtId="39" fontId="0" fillId="3" borderId="6" xfId="0" applyNumberFormat="1" applyFill="1" applyBorder="1"/>
    <xf numFmtId="0" fontId="10" fillId="0" borderId="0" xfId="0" applyFont="1"/>
    <xf numFmtId="39" fontId="10" fillId="0" borderId="0" xfId="0" applyNumberFormat="1" applyFont="1"/>
    <xf numFmtId="0" fontId="6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1" fillId="2" borderId="0" xfId="0" applyFont="1" applyFill="1" applyAlignment="1">
      <alignment vertical="center"/>
    </xf>
    <xf numFmtId="0" fontId="12" fillId="2" borderId="0" xfId="0" applyFont="1" applyFill="1"/>
    <xf numFmtId="0" fontId="1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right" vertical="center" wrapText="1"/>
    </xf>
    <xf numFmtId="0" fontId="13" fillId="2" borderId="0" xfId="0" applyFont="1" applyFill="1" applyAlignment="1">
      <alignment vertical="center"/>
    </xf>
    <xf numFmtId="0" fontId="14" fillId="2" borderId="0" xfId="0" applyFont="1" applyFill="1"/>
    <xf numFmtId="0" fontId="0" fillId="6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17" fontId="0" fillId="3" borderId="0" xfId="0" applyNumberFormat="1" applyFill="1" applyAlignment="1">
      <alignment vertical="center" wrapText="1"/>
    </xf>
    <xf numFmtId="0" fontId="1" fillId="6" borderId="0" xfId="0" applyFont="1" applyFill="1" applyAlignment="1">
      <alignment vertical="center" wrapText="1"/>
    </xf>
    <xf numFmtId="4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4" fontId="1" fillId="3" borderId="0" xfId="0" applyNumberFormat="1" applyFont="1" applyFill="1" applyAlignment="1">
      <alignment horizontal="right" vertical="center" wrapText="1"/>
    </xf>
    <xf numFmtId="0" fontId="15" fillId="2" borderId="0" xfId="0" applyFont="1" applyFill="1"/>
    <xf numFmtId="0" fontId="16" fillId="2" borderId="0" xfId="0" applyFont="1" applyFill="1"/>
    <xf numFmtId="0" fontId="7" fillId="5" borderId="0" xfId="0" applyFont="1" applyFill="1"/>
    <xf numFmtId="4" fontId="0" fillId="3" borderId="7" xfId="0" applyNumberFormat="1" applyFill="1" applyBorder="1"/>
    <xf numFmtId="4" fontId="0" fillId="3" borderId="8" xfId="0" applyNumberFormat="1" applyFill="1" applyBorder="1"/>
    <xf numFmtId="164" fontId="0" fillId="3" borderId="8" xfId="0" applyNumberFormat="1" applyFill="1" applyBorder="1"/>
    <xf numFmtId="4" fontId="8" fillId="3" borderId="8" xfId="0" applyNumberFormat="1" applyFont="1" applyFill="1" applyBorder="1"/>
    <xf numFmtId="164" fontId="8" fillId="3" borderId="8" xfId="0" applyNumberFormat="1" applyFont="1" applyFill="1" applyBorder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0" fillId="3" borderId="7" xfId="0" applyNumberFormat="1" applyFill="1" applyBorder="1" applyAlignment="1">
      <alignment vertical="center"/>
    </xf>
    <xf numFmtId="4" fontId="0" fillId="0" borderId="0" xfId="0" applyNumberFormat="1" applyAlignment="1">
      <alignment vertical="center"/>
    </xf>
    <xf numFmtId="4" fontId="1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16" fillId="2" borderId="0" xfId="0" applyFont="1" applyFill="1" applyAlignment="1">
      <alignment vertical="center"/>
    </xf>
    <xf numFmtId="0" fontId="4" fillId="3" borderId="7" xfId="0" applyFont="1" applyFill="1" applyBorder="1" applyAlignment="1">
      <alignment wrapText="1"/>
    </xf>
    <xf numFmtId="0" fontId="4" fillId="3" borderId="8" xfId="0" applyFont="1" applyFill="1" applyBorder="1"/>
    <xf numFmtId="0" fontId="1" fillId="3" borderId="6" xfId="0" applyFont="1" applyFill="1" applyBorder="1"/>
    <xf numFmtId="0" fontId="17" fillId="3" borderId="8" xfId="0" applyFont="1" applyFill="1" applyBorder="1"/>
    <xf numFmtId="0" fontId="1" fillId="0" borderId="0" xfId="0" applyFont="1"/>
    <xf numFmtId="2" fontId="0" fillId="0" borderId="0" xfId="0" applyNumberFormat="1"/>
    <xf numFmtId="2" fontId="0" fillId="0" borderId="0" xfId="0" applyNumberFormat="1" applyAlignment="1">
      <alignment wrapText="1"/>
    </xf>
    <xf numFmtId="165" fontId="0" fillId="0" borderId="0" xfId="0" applyNumberFormat="1"/>
    <xf numFmtId="165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0" fontId="11" fillId="2" borderId="0" xfId="0" applyFont="1" applyFill="1"/>
    <xf numFmtId="165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024B4-1C63-47B7-AA3E-A43D04D5425D}">
  <dimension ref="A1:B52"/>
  <sheetViews>
    <sheetView workbookViewId="0">
      <selection activeCell="F42" sqref="F42"/>
    </sheetView>
  </sheetViews>
  <sheetFormatPr defaultRowHeight="15"/>
  <cols>
    <col min="1" max="1" width="28.7109375" customWidth="1"/>
    <col min="2" max="2" width="40.7109375" customWidth="1"/>
  </cols>
  <sheetData>
    <row r="1" spans="1:2" ht="17.25">
      <c r="A1" s="53" t="s">
        <v>0</v>
      </c>
      <c r="B1" s="54"/>
    </row>
    <row r="3" spans="1:2">
      <c r="A3" s="55" t="s">
        <v>1</v>
      </c>
      <c r="B3" s="55" t="s">
        <v>2</v>
      </c>
    </row>
    <row r="4" spans="1:2">
      <c r="A4" s="59" t="s">
        <v>3</v>
      </c>
      <c r="B4" s="60" t="s">
        <v>4</v>
      </c>
    </row>
    <row r="5" spans="1:2">
      <c r="A5" s="59" t="s">
        <v>5</v>
      </c>
      <c r="B5" s="60" t="s">
        <v>6</v>
      </c>
    </row>
    <row r="6" spans="1:2">
      <c r="A6" s="59" t="s">
        <v>7</v>
      </c>
      <c r="B6" s="60" t="s">
        <v>8</v>
      </c>
    </row>
    <row r="7" spans="1:2">
      <c r="A7" s="59" t="s">
        <v>9</v>
      </c>
      <c r="B7" s="60" t="s">
        <v>10</v>
      </c>
    </row>
    <row r="8" spans="1:2">
      <c r="A8" s="59" t="s">
        <v>11</v>
      </c>
      <c r="B8" s="60" t="s">
        <v>12</v>
      </c>
    </row>
    <row r="9" spans="1:2">
      <c r="A9" s="59" t="s">
        <v>13</v>
      </c>
      <c r="B9" s="61">
        <v>46174</v>
      </c>
    </row>
    <row r="12" spans="1:2" ht="15.75">
      <c r="A12" s="57" t="s">
        <v>14</v>
      </c>
      <c r="B12" s="58"/>
    </row>
    <row r="14" spans="1:2">
      <c r="A14" s="55" t="s">
        <v>1</v>
      </c>
      <c r="B14" s="55" t="s">
        <v>2</v>
      </c>
    </row>
    <row r="15" spans="1:2" ht="30.75">
      <c r="A15" s="59" t="s">
        <v>15</v>
      </c>
      <c r="B15" s="60" t="s">
        <v>16</v>
      </c>
    </row>
    <row r="16" spans="1:2">
      <c r="A16" s="59" t="s">
        <v>17</v>
      </c>
      <c r="B16" s="60" t="s">
        <v>18</v>
      </c>
    </row>
    <row r="17" spans="1:2">
      <c r="A17" s="59" t="s">
        <v>19</v>
      </c>
      <c r="B17" s="60" t="s">
        <v>20</v>
      </c>
    </row>
    <row r="18" spans="1:2">
      <c r="A18" s="59" t="s">
        <v>21</v>
      </c>
      <c r="B18" s="60" t="s">
        <v>22</v>
      </c>
    </row>
    <row r="19" spans="1:2" ht="30.75">
      <c r="A19" s="59" t="s">
        <v>23</v>
      </c>
      <c r="B19" s="60" t="s">
        <v>24</v>
      </c>
    </row>
    <row r="20" spans="1:2">
      <c r="A20" s="59" t="s">
        <v>25</v>
      </c>
      <c r="B20" s="60" t="s">
        <v>26</v>
      </c>
    </row>
    <row r="23" spans="1:2" ht="15.75">
      <c r="A23" s="57" t="s">
        <v>27</v>
      </c>
      <c r="B23" s="58"/>
    </row>
    <row r="25" spans="1:2">
      <c r="A25" s="55" t="s">
        <v>1</v>
      </c>
      <c r="B25" s="55" t="s">
        <v>2</v>
      </c>
    </row>
    <row r="26" spans="1:2">
      <c r="A26" s="59" t="s">
        <v>28</v>
      </c>
      <c r="B26" s="60" t="s">
        <v>29</v>
      </c>
    </row>
    <row r="27" spans="1:2">
      <c r="A27" s="59" t="s">
        <v>30</v>
      </c>
      <c r="B27" s="60" t="s">
        <v>31</v>
      </c>
    </row>
    <row r="28" spans="1:2">
      <c r="A28" s="59" t="s">
        <v>32</v>
      </c>
      <c r="B28" s="60" t="s">
        <v>33</v>
      </c>
    </row>
    <row r="29" spans="1:2">
      <c r="A29" s="59" t="s">
        <v>34</v>
      </c>
      <c r="B29" s="60" t="s">
        <v>35</v>
      </c>
    </row>
    <row r="30" spans="1:2">
      <c r="A30" s="59" t="s">
        <v>36</v>
      </c>
      <c r="B30" s="60" t="s">
        <v>37</v>
      </c>
    </row>
    <row r="31" spans="1:2">
      <c r="A31" s="59" t="s">
        <v>38</v>
      </c>
      <c r="B31" s="60" t="s">
        <v>39</v>
      </c>
    </row>
    <row r="32" spans="1:2">
      <c r="A32" s="59" t="s">
        <v>40</v>
      </c>
      <c r="B32" s="60" t="s">
        <v>41</v>
      </c>
    </row>
    <row r="35" spans="1:2" ht="15.75">
      <c r="A35" s="57" t="s">
        <v>42</v>
      </c>
      <c r="B35" s="58"/>
    </row>
    <row r="37" spans="1:2">
      <c r="A37" s="55" t="s">
        <v>1</v>
      </c>
      <c r="B37" s="56" t="s">
        <v>43</v>
      </c>
    </row>
    <row r="38" spans="1:2">
      <c r="A38" s="59" t="s">
        <v>44</v>
      </c>
      <c r="B38" s="63">
        <v>3000</v>
      </c>
    </row>
    <row r="39" spans="1:2">
      <c r="A39" s="59" t="s">
        <v>45</v>
      </c>
      <c r="B39" s="63">
        <v>1028.8699999999999</v>
      </c>
    </row>
    <row r="40" spans="1:2">
      <c r="A40" s="59" t="s">
        <v>46</v>
      </c>
      <c r="B40" s="64">
        <v>90</v>
      </c>
    </row>
    <row r="41" spans="1:2">
      <c r="A41" s="62" t="s">
        <v>47</v>
      </c>
      <c r="B41" s="65">
        <v>1118.8699999999999</v>
      </c>
    </row>
    <row r="42" spans="1:2" ht="30.75">
      <c r="A42" s="62" t="s">
        <v>48</v>
      </c>
      <c r="B42" s="65">
        <v>4118.87</v>
      </c>
    </row>
    <row r="45" spans="1:2" ht="15.75">
      <c r="A45" s="50"/>
    </row>
    <row r="47" spans="1:2">
      <c r="A47" s="51"/>
      <c r="B47" s="51"/>
    </row>
    <row r="48" spans="1:2">
      <c r="A48" s="52"/>
      <c r="B48" s="52"/>
    </row>
    <row r="49" spans="1:2">
      <c r="A49" s="52"/>
      <c r="B49" s="52"/>
    </row>
    <row r="50" spans="1:2">
      <c r="A50" s="52"/>
      <c r="B50" s="52"/>
    </row>
    <row r="51" spans="1:2">
      <c r="A51" s="52"/>
      <c r="B51" s="52"/>
    </row>
    <row r="52" spans="1:2">
      <c r="A52" s="5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5"/>
  <sheetViews>
    <sheetView workbookViewId="0">
      <pane xSplit="1" topLeftCell="B1" activePane="topRight" state="frozen"/>
      <selection pane="topRight" activeCell="A5" sqref="A5:D5"/>
    </sheetView>
  </sheetViews>
  <sheetFormatPr defaultRowHeight="14.45"/>
  <cols>
    <col min="1" max="1" width="36.5703125" bestFit="1" customWidth="1"/>
    <col min="2" max="4" width="18.7109375" customWidth="1"/>
    <col min="5" max="5" width="18.7109375" style="26" bestFit="1" customWidth="1"/>
    <col min="6" max="6" width="18.7109375" bestFit="1" customWidth="1"/>
    <col min="7" max="7" width="14" style="26" bestFit="1" customWidth="1"/>
    <col min="8" max="8" width="14" style="22" bestFit="1" customWidth="1"/>
    <col min="9" max="9" width="14" bestFit="1" customWidth="1"/>
  </cols>
  <sheetData>
    <row r="1" spans="1:9">
      <c r="A1" s="31" t="s">
        <v>49</v>
      </c>
    </row>
    <row r="3" spans="1:9" ht="20.25" customHeight="1">
      <c r="A3" s="4" t="s">
        <v>50</v>
      </c>
      <c r="B3" s="5" t="s">
        <v>51</v>
      </c>
      <c r="C3" s="5" t="s">
        <v>52</v>
      </c>
      <c r="D3" s="5" t="s">
        <v>53</v>
      </c>
      <c r="E3" s="27" t="s">
        <v>54</v>
      </c>
      <c r="F3" s="24" t="s">
        <v>55</v>
      </c>
      <c r="G3" s="27" t="s">
        <v>56</v>
      </c>
      <c r="H3" s="23" t="s">
        <v>57</v>
      </c>
      <c r="I3" s="24" t="s">
        <v>58</v>
      </c>
    </row>
    <row r="4" spans="1:9">
      <c r="A4" s="8" t="s">
        <v>59</v>
      </c>
      <c r="B4" s="8"/>
      <c r="C4" s="8"/>
      <c r="D4" s="8"/>
    </row>
    <row r="5" spans="1:9">
      <c r="A5" s="2" t="s">
        <v>60</v>
      </c>
      <c r="B5" s="3">
        <v>121955.27</v>
      </c>
      <c r="C5" s="3">
        <v>137111.29999999999</v>
      </c>
      <c r="D5" s="3">
        <v>158415.16</v>
      </c>
    </row>
    <row r="6" spans="1:9">
      <c r="A6" s="2" t="s">
        <v>61</v>
      </c>
      <c r="B6" s="3"/>
      <c r="C6" s="3">
        <v>137.57</v>
      </c>
      <c r="D6" s="3">
        <v>148.52000000000001</v>
      </c>
    </row>
    <row r="7" spans="1:9">
      <c r="A7" s="2" t="s">
        <v>62</v>
      </c>
      <c r="B7" s="3">
        <v>2094.92</v>
      </c>
      <c r="C7" s="3">
        <v>2210.42</v>
      </c>
      <c r="D7" s="3">
        <v>2824.73</v>
      </c>
    </row>
    <row r="8" spans="1:9">
      <c r="A8" s="20" t="s">
        <v>63</v>
      </c>
      <c r="B8" s="19">
        <v>124050.19</v>
      </c>
      <c r="C8" s="19">
        <v>139321.72</v>
      </c>
      <c r="D8" s="19">
        <v>161388.41</v>
      </c>
      <c r="E8" s="26">
        <f>(C8-B8)/ABS(B8)</f>
        <v>0.12310767117728719</v>
      </c>
      <c r="F8" s="22">
        <f>(D8-C8)/ABS(C8)</f>
        <v>0.15838657461306108</v>
      </c>
    </row>
    <row r="9" spans="1:9">
      <c r="A9" s="1"/>
    </row>
    <row r="10" spans="1:9">
      <c r="A10" s="9" t="s">
        <v>64</v>
      </c>
      <c r="B10" s="7"/>
      <c r="C10" s="7"/>
      <c r="D10" s="7"/>
    </row>
    <row r="11" spans="1:9" ht="29.1">
      <c r="A11" s="1" t="s">
        <v>65</v>
      </c>
      <c r="B11" s="3">
        <v>32389.87</v>
      </c>
      <c r="C11" s="3">
        <v>39601.11</v>
      </c>
      <c r="D11" s="3">
        <v>44807.9</v>
      </c>
      <c r="G11" s="26">
        <f>B11/B8</f>
        <v>0.26110294550939422</v>
      </c>
      <c r="H11" s="22">
        <f t="shared" ref="H11:I11" si="0">C11/C8</f>
        <v>0.28424218420501846</v>
      </c>
      <c r="I11" s="22">
        <f t="shared" si="0"/>
        <v>0.27764013537279414</v>
      </c>
    </row>
    <row r="12" spans="1:9">
      <c r="A12" s="1" t="s">
        <v>66</v>
      </c>
      <c r="B12" s="3">
        <v>17574.88</v>
      </c>
      <c r="C12" s="3">
        <v>19136.55</v>
      </c>
      <c r="D12" s="3">
        <v>22111.11</v>
      </c>
      <c r="G12" s="26">
        <f>B12/B8</f>
        <v>0.14167555890079653</v>
      </c>
      <c r="H12" s="22">
        <f>C12/C8</f>
        <v>0.13735510873681434</v>
      </c>
      <c r="I12" s="22">
        <f>D12/D8</f>
        <v>0.13700556316280704</v>
      </c>
    </row>
    <row r="13" spans="1:9">
      <c r="A13" s="1" t="s">
        <v>67</v>
      </c>
      <c r="B13" s="3">
        <v>21946.54</v>
      </c>
      <c r="C13" s="3">
        <v>25118.15</v>
      </c>
      <c r="D13" s="3">
        <v>30648.45</v>
      </c>
      <c r="G13" s="26">
        <f>B13/B8</f>
        <v>0.17691661737882061</v>
      </c>
      <c r="H13" s="22">
        <f t="shared" ref="H13:I13" si="1">C13/C8</f>
        <v>0.18028883077240218</v>
      </c>
      <c r="I13" s="22">
        <f t="shared" si="1"/>
        <v>0.18990490085378497</v>
      </c>
    </row>
    <row r="14" spans="1:9">
      <c r="A14" s="1" t="s">
        <v>68</v>
      </c>
      <c r="B14" s="3">
        <v>3294.39</v>
      </c>
      <c r="C14" s="3">
        <v>3267.67</v>
      </c>
      <c r="D14" s="3">
        <v>3201.69</v>
      </c>
      <c r="G14" s="26">
        <f>B14/B8</f>
        <v>2.6556912165954762E-2</v>
      </c>
      <c r="H14" s="22">
        <f t="shared" ref="H14:I14" si="2">C14/C8</f>
        <v>2.3454131918555127E-2</v>
      </c>
      <c r="I14" s="22">
        <f t="shared" si="2"/>
        <v>1.9838413427581324E-2</v>
      </c>
    </row>
    <row r="15" spans="1:9">
      <c r="A15" s="1" t="s">
        <v>69</v>
      </c>
      <c r="B15" s="3">
        <v>9213.6200000000008</v>
      </c>
      <c r="C15" s="3">
        <v>9758.66</v>
      </c>
      <c r="D15" s="3">
        <v>10939.4</v>
      </c>
      <c r="G15" s="26">
        <f>B15/B8</f>
        <v>7.4273324369757115E-2</v>
      </c>
      <c r="H15" s="22">
        <f t="shared" ref="H15:I15" si="3">C15/C8</f>
        <v>7.0044067787851022E-2</v>
      </c>
      <c r="I15" s="22">
        <f t="shared" si="3"/>
        <v>6.77830582753743E-2</v>
      </c>
    </row>
    <row r="16" spans="1:9">
      <c r="A16" s="1" t="s">
        <v>70</v>
      </c>
      <c r="B16" s="3">
        <v>15875.22</v>
      </c>
      <c r="C16" s="3">
        <v>17443.22</v>
      </c>
      <c r="D16" s="3">
        <v>17110.72</v>
      </c>
      <c r="G16" s="26">
        <f>B16/B8</f>
        <v>0.12797416916491622</v>
      </c>
      <c r="H16" s="22">
        <f t="shared" ref="H16:I16" si="4">C16/C8</f>
        <v>0.1252010095769705</v>
      </c>
      <c r="I16" s="22">
        <f t="shared" si="4"/>
        <v>0.1060219875764313</v>
      </c>
    </row>
    <row r="17" spans="1:9">
      <c r="A17" s="10" t="s">
        <v>71</v>
      </c>
      <c r="B17" s="19">
        <v>100294.52</v>
      </c>
      <c r="C17" s="19">
        <v>111566.36</v>
      </c>
      <c r="D17" s="19">
        <v>128819.27</v>
      </c>
      <c r="E17" s="26">
        <f>(C17-B17)/ABS(B17)</f>
        <v>0.11238739663941755</v>
      </c>
      <c r="F17" s="22">
        <f>(D17-C17)/ABS(C17)</f>
        <v>0.15464258222639873</v>
      </c>
    </row>
    <row r="18" spans="1:9" ht="15">
      <c r="A18" s="10"/>
      <c r="B18" s="42"/>
      <c r="C18" s="42"/>
      <c r="D18" s="42"/>
      <c r="F18" s="22"/>
    </row>
    <row r="19" spans="1:9" ht="15">
      <c r="A19" s="10" t="s">
        <v>72</v>
      </c>
      <c r="B19" s="42">
        <f>B22+B14</f>
        <v>27050.059999999998</v>
      </c>
      <c r="C19" s="42">
        <f t="shared" ref="C19:D19" si="5">C22+C14</f>
        <v>31023.03</v>
      </c>
      <c r="D19" s="42">
        <f t="shared" si="5"/>
        <v>35770.83</v>
      </c>
      <c r="E19" s="26">
        <f t="shared" ref="E18:E20" si="6">(C19-B19)/ABS(B19)</f>
        <v>0.1468747204257588</v>
      </c>
      <c r="F19" s="22">
        <f t="shared" ref="F18:F20" si="7">(D19-C19)/ABS(C19)</f>
        <v>0.15304114395015583</v>
      </c>
    </row>
    <row r="20" spans="1:9" ht="15">
      <c r="A20" s="10" t="s">
        <v>73</v>
      </c>
      <c r="B20" s="3">
        <f>B19+B15</f>
        <v>36263.68</v>
      </c>
      <c r="C20" s="3">
        <f t="shared" ref="C20:D20" si="8">C19+C15</f>
        <v>40781.69</v>
      </c>
      <c r="D20" s="3">
        <f t="shared" si="8"/>
        <v>46710.23</v>
      </c>
      <c r="E20" s="26">
        <f t="shared" si="6"/>
        <v>0.12458774178461761</v>
      </c>
      <c r="F20" s="22">
        <f t="shared" si="7"/>
        <v>0.14537259245509446</v>
      </c>
    </row>
    <row r="21" spans="1:9" ht="15">
      <c r="A21" s="10"/>
    </row>
    <row r="22" spans="1:9">
      <c r="A22" s="10" t="s">
        <v>74</v>
      </c>
      <c r="B22" s="19">
        <v>23755.67</v>
      </c>
      <c r="C22" s="19">
        <v>27755.360000000001</v>
      </c>
      <c r="D22" s="19">
        <v>32569.14</v>
      </c>
      <c r="E22" s="26">
        <f>(C22-B22)/ABS(B22)</f>
        <v>0.16836780440206497</v>
      </c>
      <c r="F22" s="22">
        <f>(D22-C22)/ABS(C22)</f>
        <v>0.17343604982965447</v>
      </c>
      <c r="G22" s="26">
        <f>B22/B8</f>
        <v>0.19150047251036051</v>
      </c>
      <c r="H22" s="22">
        <f t="shared" ref="H22:I22" si="9">C22/C8</f>
        <v>0.19921775298209066</v>
      </c>
      <c r="I22" s="22">
        <f t="shared" si="9"/>
        <v>0.20180594133122692</v>
      </c>
    </row>
    <row r="23" spans="1:9">
      <c r="A23" s="1"/>
    </row>
    <row r="24" spans="1:9">
      <c r="A24" s="1" t="s">
        <v>75</v>
      </c>
      <c r="B24" s="3">
        <v>5633.1</v>
      </c>
      <c r="C24" s="3">
        <v>6729.9</v>
      </c>
      <c r="D24" s="3">
        <v>7962.54</v>
      </c>
      <c r="E24" s="26">
        <f>(C24-B24)/ABS(B24)</f>
        <v>0.19470628960962866</v>
      </c>
      <c r="F24" s="22">
        <f>(D24-C24)/ABS(C24)</f>
        <v>0.18315873935719704</v>
      </c>
    </row>
    <row r="25" spans="1:9">
      <c r="A25" s="1" t="s">
        <v>76</v>
      </c>
      <c r="B25" s="3">
        <v>-65.650000000000006</v>
      </c>
      <c r="C25" s="3">
        <v>27.8</v>
      </c>
      <c r="D25" s="3">
        <v>-44.76</v>
      </c>
    </row>
    <row r="26" spans="1:9">
      <c r="A26" s="1" t="s">
        <v>77</v>
      </c>
      <c r="B26" s="3">
        <v>215.15</v>
      </c>
      <c r="C26" s="3">
        <v>103.04</v>
      </c>
      <c r="D26" s="3">
        <v>205.36</v>
      </c>
    </row>
    <row r="27" spans="1:9">
      <c r="A27" s="1" t="s">
        <v>78</v>
      </c>
      <c r="B27" s="3">
        <v>5782.6</v>
      </c>
      <c r="C27" s="3">
        <v>6860.74</v>
      </c>
      <c r="D27" s="3">
        <v>8123.14</v>
      </c>
      <c r="E27" s="26">
        <f>(C27-B27)/ABS(B27)</f>
        <v>0.18644554352713302</v>
      </c>
      <c r="F27" s="22">
        <f>(D27-C27)/ABS(C27)</f>
        <v>0.1840034748438216</v>
      </c>
    </row>
    <row r="28" spans="1:9">
      <c r="A28" s="1"/>
      <c r="B28" s="3"/>
      <c r="C28" s="3"/>
      <c r="D28" s="3"/>
    </row>
    <row r="29" spans="1:9">
      <c r="A29" s="10" t="s">
        <v>79</v>
      </c>
      <c r="B29" s="21">
        <v>17973.07</v>
      </c>
      <c r="C29" s="21">
        <v>20894.62</v>
      </c>
      <c r="D29" s="21">
        <v>24446</v>
      </c>
      <c r="E29" s="26">
        <f>(C29-B29)/ABS(B29)</f>
        <v>0.16255152848122215</v>
      </c>
      <c r="F29" s="22">
        <f>(D29-C29)/ABS(C29)</f>
        <v>0.16996624011348382</v>
      </c>
      <c r="G29" s="26">
        <f>B29/B8</f>
        <v>0.14488546934107879</v>
      </c>
      <c r="H29" s="22">
        <f t="shared" ref="H29:I29" si="10">C29/C8</f>
        <v>0.14997388777571796</v>
      </c>
      <c r="I29" s="22">
        <f t="shared" si="10"/>
        <v>0.15147308285644551</v>
      </c>
    </row>
    <row r="30" spans="1:9">
      <c r="A30" s="1"/>
      <c r="B30" s="3"/>
      <c r="C30" s="3"/>
      <c r="D30" s="3"/>
    </row>
    <row r="31" spans="1:9">
      <c r="A31" s="9" t="s">
        <v>80</v>
      </c>
      <c r="B31" s="11"/>
      <c r="C31" s="11"/>
      <c r="D31" s="11"/>
    </row>
    <row r="32" spans="1:9" ht="29.1">
      <c r="A32" s="1" t="s">
        <v>81</v>
      </c>
      <c r="B32" s="3">
        <v>75.36</v>
      </c>
      <c r="C32" s="3">
        <v>-47.5</v>
      </c>
      <c r="D32" s="3">
        <v>-66.94</v>
      </c>
    </row>
    <row r="33" spans="1:9">
      <c r="A33" s="1" t="s">
        <v>82</v>
      </c>
      <c r="B33" s="3">
        <v>18.95</v>
      </c>
      <c r="C33" s="3">
        <v>-8.52</v>
      </c>
      <c r="D33" s="3">
        <v>10.07</v>
      </c>
    </row>
    <row r="34" spans="1:9">
      <c r="A34" s="1" t="s">
        <v>83</v>
      </c>
      <c r="B34" s="3">
        <v>-23.74</v>
      </c>
      <c r="C34" s="3">
        <v>18.010000000000002</v>
      </c>
      <c r="D34" s="3">
        <v>15.39</v>
      </c>
    </row>
    <row r="35" spans="1:9">
      <c r="A35" s="10" t="s">
        <v>84</v>
      </c>
      <c r="B35" s="19">
        <v>70.569999999999993</v>
      </c>
      <c r="C35" s="19">
        <v>-38.01</v>
      </c>
      <c r="D35" s="19">
        <v>-41.48</v>
      </c>
    </row>
    <row r="36" spans="1:9">
      <c r="A36" s="1"/>
      <c r="B36" s="3"/>
      <c r="C36" s="3"/>
      <c r="D36" s="3"/>
    </row>
    <row r="37" spans="1:9">
      <c r="A37" s="10" t="s">
        <v>85</v>
      </c>
      <c r="B37" s="21">
        <v>18043.64</v>
      </c>
      <c r="C37" s="21">
        <v>20856.61</v>
      </c>
      <c r="D37" s="21">
        <v>24404.52</v>
      </c>
      <c r="E37" s="26">
        <f>(C37-B37)/ABS(B37)</f>
        <v>0.15589814472024499</v>
      </c>
      <c r="F37" s="22">
        <f>(D37-C37)/ABS(C37)</f>
        <v>0.17010961992385146</v>
      </c>
      <c r="G37" s="26">
        <f>B37/B8</f>
        <v>0.14545435198446693</v>
      </c>
      <c r="H37" s="22">
        <f t="shared" ref="H37:I37" si="11">C37/C8</f>
        <v>0.149701065993156</v>
      </c>
      <c r="I37" s="22">
        <f t="shared" si="11"/>
        <v>0.15121606316091718</v>
      </c>
    </row>
    <row r="38" spans="1:9">
      <c r="A38" s="1"/>
      <c r="B38" s="3"/>
      <c r="C38" s="3"/>
      <c r="D38" s="3"/>
      <c r="F38" s="22"/>
    </row>
    <row r="39" spans="1:9">
      <c r="A39" s="1" t="s">
        <v>86</v>
      </c>
      <c r="B39" s="3">
        <v>164.25</v>
      </c>
      <c r="C39" s="3">
        <v>190.95</v>
      </c>
      <c r="D39" s="3">
        <v>223.41</v>
      </c>
      <c r="E39" s="26">
        <f>(C39-B39)/ABS(B39)</f>
        <v>0.1625570776255707</v>
      </c>
      <c r="F39" s="22">
        <f>(D39-C39)/ABS(C39)</f>
        <v>0.16999214454045566</v>
      </c>
    </row>
    <row r="40" spans="1:9" ht="36.6">
      <c r="A40" s="30" t="s">
        <v>87</v>
      </c>
    </row>
    <row r="41" spans="1:9" ht="36.6">
      <c r="A41" s="30" t="s">
        <v>88</v>
      </c>
    </row>
    <row r="46" spans="1:9">
      <c r="A46" s="1"/>
    </row>
    <row r="47" spans="1:9">
      <c r="A47" s="1"/>
    </row>
    <row r="48" spans="1:9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</sheetData>
  <conditionalFormatting sqref="E1:G104857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:I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D6A63-0D59-440E-BE7B-0DC741323692}">
  <dimension ref="A1:F58"/>
  <sheetViews>
    <sheetView workbookViewId="0">
      <pane ySplit="3" topLeftCell="A39" activePane="bottomLeft" state="frozen"/>
      <selection pane="bottomLeft" activeCell="B44" sqref="B44"/>
    </sheetView>
  </sheetViews>
  <sheetFormatPr defaultRowHeight="14.45"/>
  <cols>
    <col min="1" max="1" width="36.5703125" bestFit="1" customWidth="1"/>
    <col min="2" max="4" width="18.7109375" customWidth="1"/>
    <col min="5" max="5" width="18.7109375" style="26" bestFit="1" customWidth="1"/>
    <col min="6" max="6" width="18.7109375" style="22" bestFit="1" customWidth="1"/>
  </cols>
  <sheetData>
    <row r="1" spans="1:6">
      <c r="A1" s="31" t="s">
        <v>89</v>
      </c>
    </row>
    <row r="3" spans="1:6" ht="20.25" customHeight="1">
      <c r="A3" s="4" t="s">
        <v>50</v>
      </c>
      <c r="B3" s="6" t="s">
        <v>51</v>
      </c>
      <c r="C3" s="6" t="s">
        <v>52</v>
      </c>
      <c r="D3" s="6" t="s">
        <v>53</v>
      </c>
      <c r="E3" s="27" t="s">
        <v>54</v>
      </c>
      <c r="F3" s="23" t="s">
        <v>55</v>
      </c>
    </row>
    <row r="4" spans="1:6">
      <c r="A4" s="9" t="s">
        <v>90</v>
      </c>
      <c r="B4" s="8"/>
      <c r="C4" s="8"/>
      <c r="D4" s="8"/>
    </row>
    <row r="5" spans="1:6">
      <c r="A5" s="13" t="s">
        <v>91</v>
      </c>
      <c r="B5" s="14"/>
      <c r="C5" s="14"/>
      <c r="D5" s="14"/>
    </row>
    <row r="6" spans="1:6">
      <c r="A6" s="1" t="s">
        <v>92</v>
      </c>
      <c r="B6" s="3">
        <v>108790.74</v>
      </c>
      <c r="C6" s="3">
        <v>125485.41</v>
      </c>
      <c r="D6" s="3">
        <v>144110.75</v>
      </c>
      <c r="E6" s="26">
        <f>(C6-B6)/ABS(B6)</f>
        <v>0.15345671883470963</v>
      </c>
      <c r="F6" s="22">
        <f>(D6-C6)/ABS(C6)</f>
        <v>0.14842633896641846</v>
      </c>
    </row>
    <row r="7" spans="1:6">
      <c r="A7" s="1" t="s">
        <v>93</v>
      </c>
      <c r="B7" s="3">
        <v>2829.11</v>
      </c>
      <c r="C7" s="3">
        <v>2463.66</v>
      </c>
      <c r="D7" s="3">
        <v>2413.36</v>
      </c>
      <c r="E7" s="26">
        <f>(C7-B7)/ABS(B7)</f>
        <v>-0.12917489952670638</v>
      </c>
      <c r="F7" s="22">
        <f t="shared" ref="E7:F12" si="0">(D7-C7)/ABS(C7)</f>
        <v>-2.0416778289211877E-2</v>
      </c>
    </row>
    <row r="8" spans="1:6">
      <c r="A8" s="1" t="s">
        <v>94</v>
      </c>
      <c r="B8" s="3">
        <v>3863.1</v>
      </c>
      <c r="C8" s="3">
        <v>14957.2</v>
      </c>
      <c r="D8" s="3">
        <v>13496.02</v>
      </c>
      <c r="E8" s="26">
        <f t="shared" si="0"/>
        <v>2.8718127928347701</v>
      </c>
      <c r="F8" s="22">
        <f t="shared" si="0"/>
        <v>-9.7690744256946502E-2</v>
      </c>
    </row>
    <row r="9" spans="1:6">
      <c r="A9" s="1" t="s">
        <v>95</v>
      </c>
      <c r="B9" s="3">
        <v>148.34</v>
      </c>
      <c r="C9" s="3">
        <v>320.54000000000002</v>
      </c>
      <c r="D9" s="3">
        <v>828.24</v>
      </c>
      <c r="E9" s="26">
        <f t="shared" si="0"/>
        <v>1.1608467035189431</v>
      </c>
      <c r="F9" s="22">
        <f t="shared" si="0"/>
        <v>1.5838896861546139</v>
      </c>
    </row>
    <row r="10" spans="1:6">
      <c r="A10" s="1" t="s">
        <v>96</v>
      </c>
      <c r="B10" s="3">
        <v>45.35</v>
      </c>
      <c r="C10" s="3">
        <v>34.299999999999997</v>
      </c>
      <c r="D10" s="3">
        <v>51.87</v>
      </c>
      <c r="E10" s="26">
        <f t="shared" si="0"/>
        <v>-0.2436604189636164</v>
      </c>
      <c r="F10" s="22">
        <f t="shared" si="0"/>
        <v>0.51224489795918371</v>
      </c>
    </row>
    <row r="11" spans="1:6">
      <c r="A11" s="1" t="s">
        <v>97</v>
      </c>
      <c r="B11" s="3">
        <v>1498.53</v>
      </c>
      <c r="C11" s="3">
        <v>1762.01</v>
      </c>
      <c r="D11" s="3">
        <v>1856.26</v>
      </c>
      <c r="E11" s="26">
        <f t="shared" si="0"/>
        <v>0.17582564246294705</v>
      </c>
      <c r="F11" s="22">
        <f t="shared" si="0"/>
        <v>5.3490048297115227E-2</v>
      </c>
    </row>
    <row r="12" spans="1:6">
      <c r="A12" s="1" t="s">
        <v>98</v>
      </c>
      <c r="B12" s="3">
        <v>1606.81</v>
      </c>
      <c r="C12" s="3">
        <v>1474.07</v>
      </c>
      <c r="D12" s="3">
        <v>1740.36</v>
      </c>
      <c r="E12" s="26">
        <f t="shared" si="0"/>
        <v>-8.2610887410459244E-2</v>
      </c>
      <c r="F12" s="22">
        <f t="shared" si="0"/>
        <v>0.18064949425739618</v>
      </c>
    </row>
    <row r="13" spans="1:6">
      <c r="A13" s="10" t="s">
        <v>99</v>
      </c>
      <c r="B13" s="19">
        <v>118781.98</v>
      </c>
      <c r="C13" s="19">
        <v>146940.07</v>
      </c>
      <c r="D13" s="19">
        <v>164514.32</v>
      </c>
      <c r="E13" s="26">
        <f>(C13-B13)/ABS(B13)</f>
        <v>0.23705691721926181</v>
      </c>
      <c r="F13" s="22">
        <f>(D13-C13)/ABS(C13)</f>
        <v>0.11960148106639666</v>
      </c>
    </row>
    <row r="14" spans="1:6">
      <c r="A14" s="1"/>
      <c r="B14" s="3"/>
      <c r="C14" s="3"/>
      <c r="D14" s="3"/>
    </row>
    <row r="15" spans="1:6">
      <c r="A15" s="13" t="s">
        <v>100</v>
      </c>
      <c r="B15" s="15"/>
      <c r="C15" s="15"/>
      <c r="D15" s="15"/>
    </row>
    <row r="16" spans="1:6">
      <c r="A16" s="1" t="s">
        <v>101</v>
      </c>
      <c r="B16" s="3">
        <v>1469.85</v>
      </c>
      <c r="C16" s="3">
        <v>1561.58</v>
      </c>
      <c r="D16" s="3">
        <v>2025.09</v>
      </c>
      <c r="E16" s="28"/>
      <c r="F16"/>
    </row>
    <row r="17" spans="1:6">
      <c r="A17" s="1" t="s">
        <v>102</v>
      </c>
      <c r="B17" s="3">
        <v>1680.54</v>
      </c>
      <c r="C17" s="3">
        <v>3083.62</v>
      </c>
      <c r="D17" s="3">
        <v>3808.02</v>
      </c>
      <c r="E17" s="28"/>
      <c r="F17"/>
    </row>
    <row r="18" spans="1:6">
      <c r="A18" s="1" t="s">
        <v>103</v>
      </c>
      <c r="B18" s="3">
        <v>5960.21</v>
      </c>
      <c r="C18" s="3">
        <v>1429.9</v>
      </c>
      <c r="D18" s="3">
        <v>6372.38</v>
      </c>
      <c r="E18" s="28"/>
      <c r="F18"/>
    </row>
    <row r="19" spans="1:6" ht="29.1">
      <c r="A19" s="1" t="s">
        <v>104</v>
      </c>
      <c r="B19" s="3">
        <v>15145.66</v>
      </c>
      <c r="C19" s="3">
        <v>25962.92</v>
      </c>
      <c r="D19" s="3">
        <v>28348.42</v>
      </c>
      <c r="E19" s="28"/>
      <c r="F19"/>
    </row>
    <row r="20" spans="1:6">
      <c r="A20" s="1" t="s">
        <v>105</v>
      </c>
      <c r="B20" s="3">
        <v>337.74</v>
      </c>
      <c r="C20" s="3">
        <v>400.94</v>
      </c>
      <c r="D20" s="3">
        <v>562.52</v>
      </c>
      <c r="E20" s="28"/>
      <c r="F20"/>
    </row>
    <row r="21" spans="1:6">
      <c r="A21" s="1" t="s">
        <v>106</v>
      </c>
      <c r="B21" s="3">
        <v>447.42</v>
      </c>
      <c r="C21" s="3">
        <v>612.41</v>
      </c>
      <c r="D21" s="3">
        <v>977.36</v>
      </c>
      <c r="E21" s="28"/>
      <c r="F21"/>
    </row>
    <row r="22" spans="1:6">
      <c r="A22" s="10" t="s">
        <v>107</v>
      </c>
      <c r="B22" s="19">
        <v>25041.42</v>
      </c>
      <c r="C22" s="19">
        <v>33051.370000000003</v>
      </c>
      <c r="D22" s="19">
        <v>42093.79</v>
      </c>
      <c r="E22" s="26">
        <f t="shared" ref="E22:F53" si="1">(C22-B22)/ABS(B22)</f>
        <v>0.31986804262697582</v>
      </c>
      <c r="F22" s="22">
        <f t="shared" si="1"/>
        <v>0.27358684375261894</v>
      </c>
    </row>
    <row r="23" spans="1:6">
      <c r="A23" s="1"/>
      <c r="B23" s="3"/>
      <c r="C23" s="3"/>
      <c r="D23" s="3"/>
    </row>
    <row r="24" spans="1:6">
      <c r="A24" s="10" t="s">
        <v>108</v>
      </c>
      <c r="B24" s="21">
        <v>143823.4</v>
      </c>
      <c r="C24" s="21">
        <v>179991.44</v>
      </c>
      <c r="D24" s="21">
        <v>206608.11</v>
      </c>
      <c r="E24" s="26">
        <f t="shared" si="1"/>
        <v>0.25147535102076579</v>
      </c>
      <c r="F24" s="22">
        <f t="shared" si="1"/>
        <v>0.14787742128181197</v>
      </c>
    </row>
    <row r="25" spans="1:6">
      <c r="A25" s="1"/>
      <c r="B25" s="3"/>
      <c r="C25" s="3"/>
      <c r="D25" s="3"/>
    </row>
    <row r="26" spans="1:6">
      <c r="A26" s="12" t="s">
        <v>109</v>
      </c>
      <c r="B26" s="18"/>
      <c r="C26" s="18"/>
      <c r="D26" s="18"/>
    </row>
    <row r="27" spans="1:6">
      <c r="A27" s="16" t="s">
        <v>110</v>
      </c>
      <c r="B27" s="17"/>
      <c r="C27" s="17"/>
      <c r="D27" s="17"/>
    </row>
    <row r="28" spans="1:6">
      <c r="A28" s="1" t="s">
        <v>111</v>
      </c>
      <c r="B28" s="3">
        <v>1094.23</v>
      </c>
      <c r="C28" s="3">
        <v>1094.23</v>
      </c>
      <c r="D28" s="3">
        <v>1094.23</v>
      </c>
    </row>
    <row r="29" spans="1:6">
      <c r="A29" s="1" t="s">
        <v>112</v>
      </c>
      <c r="B29" s="3">
        <v>87759.62</v>
      </c>
      <c r="C29" s="3">
        <v>107522</v>
      </c>
      <c r="D29" s="3">
        <v>130832.29</v>
      </c>
    </row>
    <row r="30" spans="1:6">
      <c r="A30" s="10" t="s">
        <v>113</v>
      </c>
      <c r="B30" s="19">
        <v>88853.85</v>
      </c>
      <c r="C30" s="19">
        <v>108616.23</v>
      </c>
      <c r="D30" s="19">
        <v>131926.51999999999</v>
      </c>
      <c r="E30" s="26">
        <f t="shared" si="1"/>
        <v>0.22241444799521898</v>
      </c>
      <c r="F30" s="22">
        <f t="shared" si="1"/>
        <v>0.21461148117551121</v>
      </c>
    </row>
    <row r="31" spans="1:6">
      <c r="A31" s="1"/>
      <c r="B31" s="3"/>
      <c r="C31" s="3"/>
      <c r="D31" s="3"/>
    </row>
    <row r="32" spans="1:6">
      <c r="A32" s="9" t="s">
        <v>114</v>
      </c>
      <c r="B32" s="11"/>
      <c r="C32" s="11"/>
      <c r="D32" s="11"/>
    </row>
    <row r="33" spans="1:6">
      <c r="A33" s="1" t="s">
        <v>115</v>
      </c>
      <c r="B33" s="3">
        <v>25318.080000000002</v>
      </c>
      <c r="C33" s="3">
        <v>34832.9</v>
      </c>
      <c r="D33" s="3">
        <v>31735.41</v>
      </c>
    </row>
    <row r="34" spans="1:6">
      <c r="A34" s="1" t="s">
        <v>116</v>
      </c>
      <c r="B34" s="3">
        <v>3334.74</v>
      </c>
      <c r="C34" s="3">
        <v>3054.14</v>
      </c>
      <c r="D34" s="3">
        <v>2986.82</v>
      </c>
    </row>
    <row r="35" spans="1:6">
      <c r="A35" s="1" t="s">
        <v>117</v>
      </c>
      <c r="B35" s="3">
        <v>45.78</v>
      </c>
      <c r="C35" s="3">
        <v>255.68</v>
      </c>
      <c r="D35" s="3">
        <v>112.51</v>
      </c>
    </row>
    <row r="36" spans="1:6">
      <c r="A36" s="1" t="s">
        <v>118</v>
      </c>
      <c r="B36" s="3">
        <v>2020.95</v>
      </c>
      <c r="C36" s="3">
        <v>2363.5</v>
      </c>
      <c r="D36" s="3">
        <v>3101.45</v>
      </c>
    </row>
    <row r="37" spans="1:6">
      <c r="A37" s="1" t="s">
        <v>119</v>
      </c>
      <c r="B37" s="3">
        <v>3789.41</v>
      </c>
      <c r="C37" s="3">
        <v>3874.44</v>
      </c>
      <c r="D37" s="3">
        <v>4064.41</v>
      </c>
    </row>
    <row r="38" spans="1:6">
      <c r="A38" s="1" t="s">
        <v>120</v>
      </c>
      <c r="B38" s="3">
        <v>6.5</v>
      </c>
      <c r="C38" s="3">
        <v>8.86</v>
      </c>
      <c r="D38" s="3">
        <v>6.91</v>
      </c>
    </row>
    <row r="39" spans="1:6">
      <c r="A39" s="10" t="s">
        <v>121</v>
      </c>
      <c r="B39" s="19">
        <v>34515.46</v>
      </c>
      <c r="C39" s="19">
        <v>44389.52</v>
      </c>
      <c r="D39" s="19">
        <v>42007.51</v>
      </c>
      <c r="E39" s="26">
        <f>(C39-B39)/ABS(B39)</f>
        <v>0.28607644226674067</v>
      </c>
      <c r="F39" s="22">
        <f>(D39-C39)/ABS(C39)</f>
        <v>-5.3661539931046671E-2</v>
      </c>
    </row>
    <row r="40" spans="1:6">
      <c r="A40" s="1"/>
      <c r="B40" s="3"/>
      <c r="C40" s="3"/>
      <c r="D40" s="3"/>
    </row>
    <row r="41" spans="1:6">
      <c r="A41" s="9" t="s">
        <v>122</v>
      </c>
      <c r="B41" s="11"/>
      <c r="C41" s="11"/>
      <c r="D41" s="11"/>
    </row>
    <row r="42" spans="1:6">
      <c r="A42" s="1" t="s">
        <v>123</v>
      </c>
      <c r="B42" s="3">
        <v>2122.0100000000002</v>
      </c>
      <c r="C42" s="3">
        <v>3356.98</v>
      </c>
      <c r="D42" s="3">
        <v>5192.7299999999996</v>
      </c>
    </row>
    <row r="43" spans="1:6">
      <c r="A43" s="1" t="s">
        <v>124</v>
      </c>
      <c r="B43" s="3">
        <v>260.77</v>
      </c>
      <c r="C43" s="3">
        <v>289.74</v>
      </c>
      <c r="D43" s="3">
        <v>359.76</v>
      </c>
    </row>
    <row r="44" spans="1:6" ht="29.1">
      <c r="A44" s="1" t="s">
        <v>125</v>
      </c>
      <c r="B44" s="3">
        <v>188.06</v>
      </c>
      <c r="C44" s="3">
        <v>414.64</v>
      </c>
      <c r="D44" s="3">
        <v>373.92</v>
      </c>
    </row>
    <row r="45" spans="1:6">
      <c r="A45" s="1" t="s">
        <v>126</v>
      </c>
      <c r="B45" s="3">
        <v>2451.37</v>
      </c>
      <c r="C45" s="3">
        <v>2534.1799999999998</v>
      </c>
      <c r="D45" s="3">
        <v>2072.04</v>
      </c>
    </row>
    <row r="46" spans="1:6">
      <c r="A46" s="1" t="s">
        <v>127</v>
      </c>
      <c r="B46" s="3">
        <v>8825.27</v>
      </c>
      <c r="C46" s="3">
        <v>12550.88</v>
      </c>
      <c r="D46" s="3">
        <v>17726.54</v>
      </c>
    </row>
    <row r="47" spans="1:6">
      <c r="A47" s="1" t="s">
        <v>128</v>
      </c>
      <c r="B47" s="3">
        <v>5995.67</v>
      </c>
      <c r="C47" s="3">
        <v>6717.49</v>
      </c>
      <c r="D47" s="3">
        <v>6224.14</v>
      </c>
    </row>
    <row r="48" spans="1:6">
      <c r="A48" s="1" t="s">
        <v>129</v>
      </c>
      <c r="B48" s="3">
        <v>610.94000000000005</v>
      </c>
      <c r="C48" s="3">
        <v>740.75</v>
      </c>
      <c r="D48" s="3">
        <v>724.95</v>
      </c>
    </row>
    <row r="49" spans="1:6">
      <c r="A49" s="1" t="s">
        <v>130</v>
      </c>
      <c r="B49" s="3"/>
      <c r="C49" s="3">
        <v>381.03</v>
      </c>
      <c r="D49" s="3"/>
    </row>
    <row r="50" spans="1:6">
      <c r="A50" s="10" t="s">
        <v>131</v>
      </c>
      <c r="B50" s="19">
        <v>20454.09</v>
      </c>
      <c r="C50" s="19">
        <v>26985.69</v>
      </c>
      <c r="D50" s="19">
        <v>32674.080000000002</v>
      </c>
      <c r="E50" s="26">
        <f t="shared" si="1"/>
        <v>0.3193297770763695</v>
      </c>
      <c r="F50" s="22">
        <f t="shared" si="1"/>
        <v>0.21079283131170645</v>
      </c>
    </row>
    <row r="51" spans="1:6" ht="15">
      <c r="A51" s="43" t="s">
        <v>132</v>
      </c>
      <c r="B51" s="19">
        <f>B39+B50</f>
        <v>54969.55</v>
      </c>
      <c r="C51" s="19">
        <f>C39+C50</f>
        <v>71375.209999999992</v>
      </c>
      <c r="D51" s="19">
        <f t="shared" ref="C51:D51" si="2">D39+D50</f>
        <v>74681.59</v>
      </c>
    </row>
    <row r="52" spans="1:6" ht="15">
      <c r="A52" s="1"/>
      <c r="B52" s="3"/>
      <c r="C52" s="3"/>
      <c r="D52" s="3"/>
    </row>
    <row r="53" spans="1:6">
      <c r="A53" s="10" t="s">
        <v>133</v>
      </c>
      <c r="B53" s="21">
        <v>143823.4</v>
      </c>
      <c r="C53" s="21">
        <v>179991.44</v>
      </c>
      <c r="D53" s="21">
        <v>206608.11</v>
      </c>
      <c r="E53" s="26">
        <f>(C53-B53)/ABS(B53)</f>
        <v>0.25147535102076579</v>
      </c>
      <c r="F53" s="22">
        <f t="shared" si="1"/>
        <v>0.14787742128181197</v>
      </c>
    </row>
    <row r="54" spans="1:6">
      <c r="A54" s="1"/>
    </row>
    <row r="55" spans="1:6" ht="15">
      <c r="A55" s="48" t="s">
        <v>134</v>
      </c>
      <c r="B55" s="3">
        <f>B42+B33+B34+B43</f>
        <v>31035.600000000002</v>
      </c>
      <c r="C55" s="49">
        <f>C42+C33+C34+C43</f>
        <v>41533.760000000002</v>
      </c>
      <c r="D55" s="49">
        <f>D42+D33+D34+D43</f>
        <v>40274.720000000001</v>
      </c>
    </row>
    <row r="56" spans="1:6" ht="50.25">
      <c r="A56" s="30" t="s">
        <v>135</v>
      </c>
    </row>
    <row r="57" spans="1:6" ht="37.5">
      <c r="A57" s="30" t="s">
        <v>136</v>
      </c>
    </row>
    <row r="58" spans="1:6" ht="24.75">
      <c r="A58" s="30" t="s">
        <v>137</v>
      </c>
    </row>
  </sheetData>
  <conditionalFormatting sqref="E1:F10485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83F5F-5D45-4B3D-98E2-38E5EC43645E}">
  <dimension ref="A1:F53"/>
  <sheetViews>
    <sheetView workbookViewId="0">
      <pane xSplit="1" topLeftCell="B40" activePane="topRight" state="frozen"/>
      <selection pane="topRight" activeCell="A21" sqref="A21"/>
    </sheetView>
  </sheetViews>
  <sheetFormatPr defaultRowHeight="14.45"/>
  <cols>
    <col min="1" max="1" width="52.7109375" customWidth="1"/>
    <col min="2" max="4" width="18.7109375" customWidth="1"/>
    <col min="5" max="5" width="18.7109375" style="26" bestFit="1" customWidth="1"/>
    <col min="6" max="6" width="18.7109375" style="22" bestFit="1" customWidth="1"/>
  </cols>
  <sheetData>
    <row r="1" spans="1:6">
      <c r="A1" s="31" t="s">
        <v>138</v>
      </c>
    </row>
    <row r="3" spans="1:6" ht="20.25" customHeight="1">
      <c r="A3" s="4" t="s">
        <v>50</v>
      </c>
      <c r="B3" s="6" t="s">
        <v>51</v>
      </c>
      <c r="C3" s="6" t="s">
        <v>52</v>
      </c>
      <c r="D3" s="6" t="s">
        <v>53</v>
      </c>
      <c r="E3" s="29" t="s">
        <v>54</v>
      </c>
      <c r="F3" s="25" t="s">
        <v>55</v>
      </c>
    </row>
    <row r="4" spans="1:6">
      <c r="A4" s="9" t="s">
        <v>139</v>
      </c>
      <c r="B4" s="8"/>
      <c r="C4" s="8"/>
      <c r="D4" s="8"/>
    </row>
    <row r="5" spans="1:6">
      <c r="A5" s="1" t="s">
        <v>74</v>
      </c>
      <c r="B5" s="3">
        <v>23755.67</v>
      </c>
      <c r="C5" s="3">
        <v>27755.360000000001</v>
      </c>
      <c r="D5" s="3">
        <v>32569.14</v>
      </c>
    </row>
    <row r="6" spans="1:6">
      <c r="A6" s="1"/>
      <c r="B6" s="3"/>
      <c r="C6" s="3"/>
      <c r="D6" s="3"/>
    </row>
    <row r="7" spans="1:6">
      <c r="A7" s="1" t="s">
        <v>140</v>
      </c>
      <c r="B7" s="3"/>
      <c r="C7" s="3"/>
      <c r="D7" s="3"/>
    </row>
    <row r="8" spans="1:6">
      <c r="A8" s="1" t="s">
        <v>141</v>
      </c>
      <c r="B8" s="3">
        <v>9213.6200000000008</v>
      </c>
      <c r="C8" s="3">
        <v>9758.66</v>
      </c>
      <c r="D8" s="3">
        <v>10939.4</v>
      </c>
    </row>
    <row r="9" spans="1:6">
      <c r="A9" s="1" t="s">
        <v>142</v>
      </c>
      <c r="B9" s="3">
        <v>0.16</v>
      </c>
      <c r="C9" s="3">
        <v>2.7</v>
      </c>
      <c r="D9" s="3">
        <v>-8.8000000000000007</v>
      </c>
    </row>
    <row r="10" spans="1:6">
      <c r="A10" s="1" t="s">
        <v>143</v>
      </c>
      <c r="B10" s="3">
        <v>3276.08</v>
      </c>
      <c r="C10" s="3">
        <v>3263.91</v>
      </c>
      <c r="D10" s="3">
        <v>3193.28</v>
      </c>
    </row>
    <row r="11" spans="1:6">
      <c r="A11" s="1" t="s">
        <v>144</v>
      </c>
      <c r="B11" s="3">
        <v>-0.73</v>
      </c>
      <c r="C11" s="3">
        <v>-0.98</v>
      </c>
      <c r="D11" s="3">
        <v>-1.22</v>
      </c>
    </row>
    <row r="12" spans="1:6">
      <c r="A12" s="1" t="s">
        <v>145</v>
      </c>
      <c r="B12" s="3"/>
      <c r="C12" s="3" t="s">
        <v>146</v>
      </c>
      <c r="D12" s="3">
        <v>-2097.5500000000002</v>
      </c>
    </row>
    <row r="13" spans="1:6">
      <c r="A13" s="1" t="s">
        <v>147</v>
      </c>
      <c r="B13" s="3">
        <v>-185.82</v>
      </c>
      <c r="C13" s="3">
        <v>-46.13</v>
      </c>
      <c r="D13" s="3">
        <v>-80.69</v>
      </c>
    </row>
    <row r="14" spans="1:6">
      <c r="A14" s="1" t="s">
        <v>148</v>
      </c>
      <c r="B14" s="3">
        <v>-4.5</v>
      </c>
      <c r="C14" s="3">
        <v>18.600000000000001</v>
      </c>
      <c r="D14" s="3">
        <v>148.79</v>
      </c>
    </row>
    <row r="15" spans="1:6">
      <c r="A15" s="1" t="s">
        <v>149</v>
      </c>
      <c r="B15" s="3">
        <v>12298.81</v>
      </c>
      <c r="C15" s="3">
        <v>12996.76</v>
      </c>
      <c r="D15" s="3">
        <v>12093.21</v>
      </c>
    </row>
    <row r="16" spans="1:6">
      <c r="A16" s="1"/>
      <c r="B16" s="3"/>
      <c r="C16" s="3"/>
      <c r="D16" s="3"/>
    </row>
    <row r="17" spans="1:6">
      <c r="A17" s="10" t="s">
        <v>150</v>
      </c>
      <c r="B17" s="19">
        <v>36054.480000000003</v>
      </c>
      <c r="C17" s="19">
        <v>40752.120000000003</v>
      </c>
      <c r="D17" s="19">
        <v>44662.35</v>
      </c>
    </row>
    <row r="18" spans="1:6">
      <c r="A18" s="1"/>
      <c r="B18" s="3"/>
      <c r="C18" s="3"/>
      <c r="D18" s="3"/>
    </row>
    <row r="19" spans="1:6" ht="29.1">
      <c r="A19" s="1" t="s">
        <v>151</v>
      </c>
      <c r="B19" s="3">
        <v>1835.89</v>
      </c>
      <c r="C19" s="3">
        <v>-1857.89</v>
      </c>
      <c r="D19" s="3">
        <v>-1470.35</v>
      </c>
    </row>
    <row r="20" spans="1:6">
      <c r="A20" s="1" t="s">
        <v>152</v>
      </c>
      <c r="B20" s="3">
        <v>121.78</v>
      </c>
      <c r="C20" s="3">
        <v>-188.34</v>
      </c>
      <c r="D20" s="3">
        <v>-364.95</v>
      </c>
    </row>
    <row r="21" spans="1:6" ht="29.1">
      <c r="A21" s="1" t="s">
        <v>153</v>
      </c>
      <c r="B21" s="3">
        <v>1948.45</v>
      </c>
      <c r="C21" s="3">
        <v>1520.22</v>
      </c>
      <c r="D21" s="3">
        <v>1578.72</v>
      </c>
    </row>
    <row r="22" spans="1:6" ht="29.1">
      <c r="A22" s="1" t="s">
        <v>154</v>
      </c>
      <c r="B22" s="3">
        <v>164.07</v>
      </c>
      <c r="C22" s="3">
        <v>1162.28</v>
      </c>
      <c r="D22" s="3">
        <v>173.63</v>
      </c>
    </row>
    <row r="23" spans="1:6">
      <c r="A23" s="10" t="s">
        <v>155</v>
      </c>
      <c r="B23" s="19">
        <v>4070.19</v>
      </c>
      <c r="C23" s="19">
        <v>636.27</v>
      </c>
      <c r="D23" s="19">
        <v>-82.95</v>
      </c>
    </row>
    <row r="24" spans="1:6">
      <c r="A24" s="1"/>
      <c r="B24" s="3"/>
      <c r="C24" s="3"/>
      <c r="D24" s="3"/>
    </row>
    <row r="25" spans="1:6">
      <c r="A25" s="10" t="s">
        <v>156</v>
      </c>
      <c r="B25" s="19">
        <v>40124.67</v>
      </c>
      <c r="C25" s="19">
        <v>41388.39</v>
      </c>
      <c r="D25" s="19">
        <v>44579.4</v>
      </c>
      <c r="E25" s="26">
        <f t="shared" ref="E25:F49" si="0">(C25-B25)/ABS(B25)</f>
        <v>3.1494838462222896E-2</v>
      </c>
      <c r="F25" s="22">
        <f t="shared" si="0"/>
        <v>7.7099157517361808E-2</v>
      </c>
    </row>
    <row r="26" spans="1:6">
      <c r="A26" s="1" t="s">
        <v>157</v>
      </c>
      <c r="B26" s="3">
        <v>-5711.41</v>
      </c>
      <c r="C26" s="3">
        <v>-6096.92</v>
      </c>
      <c r="D26" s="3">
        <v>-8395.9699999999993</v>
      </c>
      <c r="E26" s="26">
        <f t="shared" si="0"/>
        <v>-6.7498218478449321E-2</v>
      </c>
      <c r="F26" s="22">
        <f t="shared" ref="F26:F49" si="1">(D26-C26)/ABS(C26)</f>
        <v>-0.37708383905316112</v>
      </c>
    </row>
    <row r="27" spans="1:6">
      <c r="A27" s="10" t="s">
        <v>158</v>
      </c>
      <c r="B27" s="19">
        <v>34413.26</v>
      </c>
      <c r="C27" s="19">
        <v>35291.47</v>
      </c>
      <c r="D27" s="19">
        <v>36183.43</v>
      </c>
      <c r="E27" s="26">
        <f t="shared" si="0"/>
        <v>2.5519523578992488E-2</v>
      </c>
      <c r="F27" s="22">
        <f t="shared" si="1"/>
        <v>2.5274095978433289E-2</v>
      </c>
    </row>
    <row r="28" spans="1:6">
      <c r="A28" s="1"/>
      <c r="B28" s="3"/>
      <c r="C28" s="3"/>
      <c r="D28" s="3"/>
    </row>
    <row r="29" spans="1:6">
      <c r="A29" s="9" t="s">
        <v>159</v>
      </c>
      <c r="B29" s="11"/>
      <c r="C29" s="11"/>
      <c r="D29" s="11"/>
    </row>
    <row r="30" spans="1:6" ht="29.1">
      <c r="A30" s="1" t="s">
        <v>160</v>
      </c>
      <c r="B30" s="3">
        <v>-13842.26</v>
      </c>
      <c r="C30" s="3">
        <v>-35309.94</v>
      </c>
      <c r="D30" s="3">
        <v>-25195.45</v>
      </c>
      <c r="E30" s="26">
        <f t="shared" si="0"/>
        <v>-1.5508796973904551</v>
      </c>
      <c r="F30" s="22">
        <f t="shared" si="1"/>
        <v>0.28644880166887854</v>
      </c>
    </row>
    <row r="31" spans="1:6">
      <c r="A31" s="1" t="s">
        <v>161</v>
      </c>
      <c r="B31" s="3">
        <v>24.3</v>
      </c>
      <c r="C31" s="3">
        <v>92.54</v>
      </c>
      <c r="D31" s="3">
        <v>85.7</v>
      </c>
    </row>
    <row r="32" spans="1:6">
      <c r="A32" s="1" t="s">
        <v>162</v>
      </c>
      <c r="B32" s="3"/>
      <c r="C32" s="3">
        <v>2.5299999999999998</v>
      </c>
      <c r="D32" s="3">
        <v>-7.5</v>
      </c>
    </row>
    <row r="33" spans="1:6">
      <c r="A33" s="1" t="s">
        <v>145</v>
      </c>
      <c r="B33" s="3"/>
      <c r="C33" s="3"/>
      <c r="D33" s="3">
        <v>2097.5500000000002</v>
      </c>
    </row>
    <row r="34" spans="1:6">
      <c r="A34" s="1" t="s">
        <v>144</v>
      </c>
      <c r="B34" s="3">
        <v>0.73</v>
      </c>
      <c r="C34" s="3">
        <v>0.98</v>
      </c>
      <c r="D34" s="3">
        <v>1.22</v>
      </c>
    </row>
    <row r="35" spans="1:6">
      <c r="A35" s="10" t="s">
        <v>163</v>
      </c>
      <c r="B35" s="19">
        <v>-13817.23</v>
      </c>
      <c r="C35" s="19">
        <v>-35213.89</v>
      </c>
      <c r="D35" s="19">
        <v>-23018.48</v>
      </c>
      <c r="E35" s="26">
        <f t="shared" si="0"/>
        <v>-1.5485491665116671</v>
      </c>
      <c r="F35" s="22">
        <f t="shared" si="1"/>
        <v>0.34632385118485914</v>
      </c>
    </row>
    <row r="36" spans="1:6">
      <c r="A36" s="1"/>
      <c r="B36" s="3"/>
      <c r="C36" s="3"/>
      <c r="D36" s="3"/>
    </row>
    <row r="37" spans="1:6">
      <c r="A37" s="9" t="s">
        <v>164</v>
      </c>
      <c r="B37" s="11"/>
      <c r="C37" s="11"/>
      <c r="D37" s="11"/>
    </row>
    <row r="38" spans="1:6">
      <c r="A38" s="1" t="s">
        <v>165</v>
      </c>
      <c r="B38" s="3">
        <v>-19849.91</v>
      </c>
      <c r="C38" s="3">
        <v>10749.79</v>
      </c>
      <c r="D38" s="3">
        <v>-1261.73</v>
      </c>
    </row>
    <row r="39" spans="1:6">
      <c r="A39" s="1" t="s">
        <v>166</v>
      </c>
      <c r="B39" s="3">
        <v>-9.07</v>
      </c>
      <c r="C39" s="3"/>
      <c r="D39" s="3"/>
    </row>
    <row r="40" spans="1:6">
      <c r="A40" s="1" t="s">
        <v>167</v>
      </c>
      <c r="B40" s="3">
        <v>-539.64</v>
      </c>
      <c r="C40" s="3">
        <v>-538.78</v>
      </c>
      <c r="D40" s="3">
        <v>-605.99</v>
      </c>
    </row>
    <row r="41" spans="1:6">
      <c r="A41" s="1" t="s">
        <v>168</v>
      </c>
      <c r="B41" s="3">
        <v>-2860.16</v>
      </c>
      <c r="C41" s="3">
        <v>-2927.36</v>
      </c>
      <c r="D41" s="3">
        <v>-2877.89</v>
      </c>
      <c r="E41" s="26">
        <f t="shared" si="0"/>
        <v>-2.3495189080331266E-2</v>
      </c>
      <c r="F41" s="22">
        <f t="shared" si="1"/>
        <v>1.6899185614342019E-2</v>
      </c>
    </row>
    <row r="42" spans="1:6">
      <c r="A42" s="1" t="s">
        <v>169</v>
      </c>
      <c r="B42" s="3">
        <v>-1090.3900000000001</v>
      </c>
      <c r="C42" s="3">
        <v>-1074.28</v>
      </c>
      <c r="D42" s="3">
        <v>-1091.3599999999999</v>
      </c>
      <c r="E42" s="26">
        <f t="shared" si="0"/>
        <v>1.4774530213960258E-2</v>
      </c>
      <c r="F42" s="22">
        <f t="shared" si="1"/>
        <v>-1.5899020739471952E-2</v>
      </c>
    </row>
    <row r="43" spans="1:6">
      <c r="A43" s="10" t="s">
        <v>170</v>
      </c>
      <c r="B43" s="19">
        <v>-24349.17</v>
      </c>
      <c r="C43" s="19">
        <v>6209.37</v>
      </c>
      <c r="D43" s="19">
        <v>-5836.97</v>
      </c>
      <c r="E43" s="26">
        <f t="shared" si="0"/>
        <v>1.255013620587478</v>
      </c>
      <c r="F43" s="22">
        <f t="shared" si="1"/>
        <v>-1.94002612181268</v>
      </c>
    </row>
    <row r="44" spans="1:6">
      <c r="A44" s="1"/>
      <c r="B44" s="3"/>
      <c r="C44" s="3"/>
      <c r="D44" s="3"/>
    </row>
    <row r="45" spans="1:6" ht="29.1">
      <c r="A45" s="1" t="s">
        <v>171</v>
      </c>
      <c r="B45" s="19">
        <v>-3753.14</v>
      </c>
      <c r="C45" s="19">
        <v>6286.95</v>
      </c>
      <c r="D45" s="19">
        <v>7327.98</v>
      </c>
      <c r="E45" s="26">
        <f t="shared" si="0"/>
        <v>2.6751173683902012</v>
      </c>
      <c r="F45" s="22">
        <f t="shared" si="1"/>
        <v>0.16558585641686346</v>
      </c>
    </row>
    <row r="46" spans="1:6">
      <c r="A46" s="1"/>
      <c r="B46" s="3"/>
      <c r="C46" s="3"/>
      <c r="D46" s="3"/>
    </row>
    <row r="47" spans="1:6">
      <c r="A47" s="1" t="s">
        <v>172</v>
      </c>
      <c r="B47" s="3">
        <v>24859.01</v>
      </c>
      <c r="C47" s="3">
        <v>21105.87</v>
      </c>
      <c r="D47" s="3">
        <v>27392.82</v>
      </c>
    </row>
    <row r="48" spans="1:6" ht="29.1">
      <c r="A48" s="1" t="s">
        <v>173</v>
      </c>
      <c r="B48" s="3">
        <v>15145.66</v>
      </c>
      <c r="C48" s="3">
        <v>25962.92</v>
      </c>
      <c r="D48" s="3">
        <v>28348.42</v>
      </c>
    </row>
    <row r="49" spans="1:6">
      <c r="A49" s="10" t="s">
        <v>174</v>
      </c>
      <c r="B49" s="21">
        <v>5960.21</v>
      </c>
      <c r="C49" s="21">
        <v>1429.9</v>
      </c>
      <c r="D49" s="21">
        <v>6372.38</v>
      </c>
      <c r="E49" s="26">
        <f t="shared" si="0"/>
        <v>-0.76009234573949569</v>
      </c>
      <c r="F49" s="22">
        <f t="shared" si="1"/>
        <v>3.4565214350653886</v>
      </c>
    </row>
    <row r="50" spans="1:6">
      <c r="A50" s="1"/>
    </row>
    <row r="51" spans="1:6" ht="36.6">
      <c r="A51" s="30" t="s">
        <v>175</v>
      </c>
    </row>
    <row r="52" spans="1:6" ht="24.6">
      <c r="A52" s="30" t="s">
        <v>176</v>
      </c>
    </row>
    <row r="53" spans="1:6" ht="48.6">
      <c r="A53" s="30" t="s">
        <v>177</v>
      </c>
    </row>
  </sheetData>
  <conditionalFormatting sqref="E1:F10485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ABFEB-0B73-4F57-BEDD-52CC58ED3FD9}">
  <dimension ref="A1:D81"/>
  <sheetViews>
    <sheetView topLeftCell="A34" zoomScale="76" workbookViewId="0">
      <selection activeCell="B46" sqref="B46"/>
    </sheetView>
  </sheetViews>
  <sheetFormatPr defaultRowHeight="14.45"/>
  <cols>
    <col min="1" max="1" width="36.5703125" bestFit="1" customWidth="1"/>
    <col min="2" max="2" width="20.85546875" customWidth="1"/>
    <col min="3" max="3" width="40.7109375" customWidth="1"/>
    <col min="4" max="4" width="53.7109375" customWidth="1"/>
    <col min="5" max="5" width="14.5703125" bestFit="1" customWidth="1"/>
  </cols>
  <sheetData>
    <row r="1" spans="1:4" ht="17.25">
      <c r="A1" s="66" t="s">
        <v>178</v>
      </c>
      <c r="B1" s="66"/>
      <c r="C1" s="66"/>
      <c r="D1" s="66"/>
    </row>
    <row r="2" spans="1:4" ht="15">
      <c r="A2" s="32"/>
      <c r="B2" s="32"/>
      <c r="C2" s="32"/>
      <c r="D2" s="32"/>
    </row>
    <row r="3" spans="1:4" ht="15">
      <c r="A3" s="68" t="s">
        <v>50</v>
      </c>
      <c r="B3" s="68" t="s">
        <v>179</v>
      </c>
      <c r="C3" s="68" t="s">
        <v>180</v>
      </c>
      <c r="D3" s="68" t="s">
        <v>181</v>
      </c>
    </row>
    <row r="4" spans="1:4" ht="29.25">
      <c r="A4" s="32" t="s">
        <v>182</v>
      </c>
      <c r="B4" s="33">
        <v>5931</v>
      </c>
      <c r="C4" s="75" t="s">
        <v>183</v>
      </c>
      <c r="D4" s="34" t="s">
        <v>184</v>
      </c>
    </row>
    <row r="5" spans="1:4" ht="15">
      <c r="A5" s="32" t="s">
        <v>185</v>
      </c>
      <c r="B5" s="33">
        <v>12068.63</v>
      </c>
      <c r="C5" s="75" t="s">
        <v>183</v>
      </c>
      <c r="D5" s="34" t="s">
        <v>186</v>
      </c>
    </row>
    <row r="6" spans="1:4" ht="15">
      <c r="A6" s="32" t="s">
        <v>187</v>
      </c>
      <c r="B6" s="33">
        <v>5594.35</v>
      </c>
      <c r="C6" s="75" t="s">
        <v>188</v>
      </c>
      <c r="D6" s="32"/>
    </row>
    <row r="7" spans="1:4" ht="29.25">
      <c r="A7" s="32" t="s">
        <v>189</v>
      </c>
      <c r="B7" s="32">
        <v>320.54000000000002</v>
      </c>
      <c r="C7" s="75" t="s">
        <v>190</v>
      </c>
      <c r="D7" s="34" t="s">
        <v>191</v>
      </c>
    </row>
    <row r="8" spans="1:4" ht="29.25">
      <c r="A8" s="32" t="s">
        <v>192</v>
      </c>
      <c r="B8" s="32">
        <v>442.88</v>
      </c>
      <c r="C8" s="75" t="s">
        <v>193</v>
      </c>
      <c r="D8" s="34" t="s">
        <v>194</v>
      </c>
    </row>
    <row r="9" spans="1:4" ht="29.25">
      <c r="A9" s="32" t="s">
        <v>195</v>
      </c>
      <c r="B9" s="33">
        <v>1424.04</v>
      </c>
      <c r="C9" s="75" t="s">
        <v>196</v>
      </c>
      <c r="D9" s="34" t="s">
        <v>197</v>
      </c>
    </row>
    <row r="10" spans="1:4" ht="15">
      <c r="A10" s="32" t="s">
        <v>198</v>
      </c>
      <c r="B10" s="32">
        <v>6</v>
      </c>
      <c r="C10" s="75" t="s">
        <v>199</v>
      </c>
      <c r="D10" s="34" t="s">
        <v>200</v>
      </c>
    </row>
    <row r="11" spans="1:4" ht="29.25">
      <c r="A11" s="32" t="s">
        <v>201</v>
      </c>
      <c r="B11" s="32">
        <v>283.87</v>
      </c>
      <c r="C11" s="75" t="s">
        <v>202</v>
      </c>
      <c r="D11" s="34" t="s">
        <v>203</v>
      </c>
    </row>
    <row r="12" spans="1:4" ht="15">
      <c r="A12" s="10"/>
      <c r="B12" s="35"/>
      <c r="C12" s="76"/>
    </row>
    <row r="13" spans="1:4" ht="15">
      <c r="A13" s="10"/>
      <c r="B13" s="35"/>
      <c r="C13" s="77" t="s">
        <v>204</v>
      </c>
    </row>
    <row r="14" spans="1:4" ht="15">
      <c r="A14" s="83" t="s">
        <v>205</v>
      </c>
      <c r="B14" s="69">
        <f>SUM(B4:B11)</f>
        <v>26071.309999999998</v>
      </c>
      <c r="C14" s="78">
        <f>BS!C13-B14</f>
        <v>120868.76000000001</v>
      </c>
      <c r="D14" s="35"/>
    </row>
    <row r="15" spans="1:4" ht="15">
      <c r="A15" s="1"/>
      <c r="B15" s="35"/>
      <c r="C15" s="79"/>
      <c r="D15" s="35"/>
    </row>
    <row r="16" spans="1:4" ht="15">
      <c r="B16" s="36"/>
      <c r="C16" s="80"/>
      <c r="D16" s="36"/>
    </row>
    <row r="17" spans="1:4" ht="15.75">
      <c r="A17" s="37"/>
      <c r="C17" s="81"/>
    </row>
    <row r="18" spans="1:4" ht="17.25">
      <c r="A18" s="66" t="s">
        <v>206</v>
      </c>
      <c r="B18" s="67"/>
      <c r="C18" s="82"/>
      <c r="D18" s="67"/>
    </row>
    <row r="19" spans="1:4" ht="15">
      <c r="A19" s="32"/>
      <c r="B19" s="32"/>
      <c r="C19" s="32"/>
      <c r="D19" s="32"/>
    </row>
    <row r="20" spans="1:4" ht="15">
      <c r="A20" s="68" t="s">
        <v>50</v>
      </c>
      <c r="B20" s="68" t="s">
        <v>179</v>
      </c>
      <c r="C20" s="68" t="s">
        <v>180</v>
      </c>
      <c r="D20" s="68" t="s">
        <v>181</v>
      </c>
    </row>
    <row r="21" spans="1:4" ht="29.25">
      <c r="A21" s="32" t="s">
        <v>207</v>
      </c>
      <c r="B21" s="32">
        <v>270.10000000000002</v>
      </c>
      <c r="C21" s="75" t="s">
        <v>208</v>
      </c>
      <c r="D21" s="34" t="s">
        <v>209</v>
      </c>
    </row>
    <row r="22" spans="1:4" ht="29.25">
      <c r="A22" s="32" t="s">
        <v>210</v>
      </c>
      <c r="B22" s="33">
        <v>5739.07</v>
      </c>
      <c r="C22" s="75" t="s">
        <v>211</v>
      </c>
      <c r="D22" s="34" t="s">
        <v>212</v>
      </c>
    </row>
    <row r="23" spans="1:4" ht="29.25">
      <c r="A23" s="32" t="s">
        <v>213</v>
      </c>
      <c r="B23" s="33">
        <v>1030.1500000000001</v>
      </c>
      <c r="C23" s="75" t="s">
        <v>214</v>
      </c>
      <c r="D23" s="34" t="s">
        <v>215</v>
      </c>
    </row>
    <row r="24" spans="1:4" ht="15">
      <c r="A24" s="32"/>
      <c r="B24" s="33"/>
      <c r="C24" s="74"/>
      <c r="D24" s="34"/>
    </row>
    <row r="25" spans="1:4" ht="15">
      <c r="A25" s="32"/>
      <c r="B25" s="33"/>
      <c r="C25" s="74" t="s">
        <v>216</v>
      </c>
      <c r="D25" s="34"/>
    </row>
    <row r="26" spans="1:4" ht="15">
      <c r="A26" s="39" t="s">
        <v>217</v>
      </c>
      <c r="B26" s="38">
        <f>B21+B22</f>
        <v>6009.17</v>
      </c>
      <c r="C26" s="44">
        <f>BS!C18+BS!C19-B26</f>
        <v>21383.65</v>
      </c>
    </row>
    <row r="27" spans="1:4" ht="15"/>
    <row r="28" spans="1:4" ht="15">
      <c r="A28" s="9" t="s">
        <v>218</v>
      </c>
      <c r="B28" s="40">
        <f>B23+B26</f>
        <v>7039.32</v>
      </c>
      <c r="C28" s="46">
        <f>BS!C22-B28</f>
        <v>26012.050000000003</v>
      </c>
      <c r="D28" s="36"/>
    </row>
    <row r="29" spans="1:4" ht="15"/>
    <row r="30" spans="1:4" ht="15">
      <c r="A30" s="84" t="s">
        <v>219</v>
      </c>
      <c r="B30" s="70">
        <f>B14+B28</f>
        <v>33110.629999999997</v>
      </c>
      <c r="C30" s="71">
        <f>BS!C24-B30</f>
        <v>146880.81</v>
      </c>
      <c r="D30" s="7"/>
    </row>
    <row r="31" spans="1:4" ht="15"/>
    <row r="32" spans="1:4" ht="15"/>
    <row r="33" spans="1:4" ht="15"/>
    <row r="34" spans="1:4" ht="17.25">
      <c r="A34" s="66" t="s">
        <v>220</v>
      </c>
      <c r="B34" s="67"/>
      <c r="C34" s="67"/>
      <c r="D34" s="67"/>
    </row>
    <row r="35" spans="1:4" ht="17.25">
      <c r="A35" s="67"/>
      <c r="B35" s="67"/>
      <c r="C35" s="67"/>
      <c r="D35" s="67"/>
    </row>
    <row r="36" spans="1:4" ht="15">
      <c r="A36" s="68" t="s">
        <v>50</v>
      </c>
      <c r="B36" s="68" t="s">
        <v>179</v>
      </c>
      <c r="C36" s="68" t="s">
        <v>180</v>
      </c>
      <c r="D36" s="68" t="s">
        <v>181</v>
      </c>
    </row>
    <row r="37" spans="1:4" ht="15">
      <c r="A37" s="32" t="s">
        <v>221</v>
      </c>
      <c r="B37" s="33">
        <v>3054.14</v>
      </c>
      <c r="C37" s="75" t="s">
        <v>222</v>
      </c>
      <c r="D37" s="34" t="s">
        <v>223</v>
      </c>
    </row>
    <row r="38" spans="1:4" ht="15">
      <c r="A38" s="32" t="s">
        <v>224</v>
      </c>
      <c r="B38" s="32">
        <v>289.74</v>
      </c>
      <c r="C38" s="75" t="s">
        <v>225</v>
      </c>
      <c r="D38" s="34" t="s">
        <v>226</v>
      </c>
    </row>
    <row r="39" spans="1:4" ht="29.25">
      <c r="A39" s="32" t="s">
        <v>227</v>
      </c>
      <c r="B39" s="33">
        <v>4497.7700000000004</v>
      </c>
      <c r="C39" s="75" t="s">
        <v>228</v>
      </c>
      <c r="D39" s="34" t="s">
        <v>229</v>
      </c>
    </row>
    <row r="40" spans="1:4" ht="15">
      <c r="A40" s="32" t="s">
        <v>230</v>
      </c>
      <c r="B40" s="32">
        <v>152.56</v>
      </c>
      <c r="C40" s="75" t="s">
        <v>231</v>
      </c>
      <c r="D40" s="34" t="s">
        <v>232</v>
      </c>
    </row>
    <row r="41" spans="1:4" ht="15">
      <c r="A41" s="32"/>
      <c r="B41" s="32"/>
      <c r="C41" s="32"/>
      <c r="D41" s="34"/>
    </row>
    <row r="42" spans="1:4" ht="15">
      <c r="A42" s="32"/>
      <c r="B42" s="32"/>
      <c r="D42" s="34"/>
    </row>
    <row r="43" spans="1:4" ht="15">
      <c r="C43" s="32" t="s">
        <v>216</v>
      </c>
    </row>
    <row r="44" spans="1:4" ht="15">
      <c r="A44" s="85" t="s">
        <v>233</v>
      </c>
      <c r="B44" s="47">
        <f>BS!C33+BS!C42+BS!C34+BS!C43</f>
        <v>41533.760000000002</v>
      </c>
      <c r="C44" s="45"/>
    </row>
    <row r="45" spans="1:4" ht="15">
      <c r="A45" s="86" t="s">
        <v>234</v>
      </c>
      <c r="B45" s="72">
        <f>B37+B38+B39+B52</f>
        <v>7841.6500000000005</v>
      </c>
      <c r="C45" s="73">
        <f>B44+B45</f>
        <v>49375.41</v>
      </c>
      <c r="D45" s="41"/>
    </row>
    <row r="46" spans="1:4" ht="15">
      <c r="A46" s="87"/>
    </row>
    <row r="47" spans="1:4" ht="15"/>
    <row r="48" spans="1:4" ht="15"/>
    <row r="49" ht="15"/>
    <row r="50" ht="15"/>
    <row r="51" ht="15"/>
    <row r="52" ht="15"/>
    <row r="53" ht="15"/>
    <row r="54" ht="15"/>
    <row r="55" ht="15"/>
    <row r="56" ht="15"/>
    <row r="57" ht="15"/>
    <row r="58" ht="15"/>
    <row r="61" ht="15"/>
    <row r="62" ht="15"/>
    <row r="63" ht="15"/>
    <row r="64" ht="15"/>
    <row r="65" ht="15"/>
    <row r="66" ht="15"/>
    <row r="67" ht="15"/>
    <row r="69" ht="15"/>
    <row r="72" ht="15"/>
    <row r="73" ht="15"/>
    <row r="74" ht="15"/>
    <row r="75" ht="15"/>
    <row r="76" ht="15"/>
    <row r="77" ht="15"/>
    <row r="78" ht="15"/>
    <row r="79" ht="15"/>
    <row r="80" ht="15"/>
    <row r="81" ht="1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2F373-1FDC-4DB6-9F70-8A08E169261E}">
  <dimension ref="A1:E33"/>
  <sheetViews>
    <sheetView tabSelected="1" workbookViewId="0">
      <selection sqref="A1:A1048576"/>
    </sheetView>
  </sheetViews>
  <sheetFormatPr defaultRowHeight="15" customHeight="1"/>
  <cols>
    <col min="1" max="1" width="21.5703125" style="87" bestFit="1" customWidth="1"/>
    <col min="2" max="2" width="29.7109375" bestFit="1" customWidth="1"/>
    <col min="3" max="3" width="15" customWidth="1"/>
    <col min="4" max="4" width="16.7109375" bestFit="1" customWidth="1"/>
    <col min="5" max="5" width="15.140625" bestFit="1" customWidth="1"/>
  </cols>
  <sheetData>
    <row r="1" spans="1:5" ht="17.25">
      <c r="A1" s="93" t="s">
        <v>235</v>
      </c>
      <c r="B1" s="93">
        <v>2024</v>
      </c>
      <c r="C1" s="93">
        <v>2025</v>
      </c>
      <c r="D1" s="93" t="s">
        <v>236</v>
      </c>
      <c r="E1" s="93">
        <v>2026</v>
      </c>
    </row>
    <row r="2" spans="1:5"/>
    <row r="3" spans="1:5">
      <c r="A3" s="8" t="s">
        <v>237</v>
      </c>
      <c r="B3" s="7"/>
      <c r="C3" s="7"/>
      <c r="D3" s="7"/>
      <c r="E3" s="7"/>
    </row>
    <row r="5" spans="1:5">
      <c r="A5" s="87" t="s">
        <v>238</v>
      </c>
      <c r="B5" s="90">
        <f>BS!B22/BS!B50</f>
        <v>1.2242744605113207</v>
      </c>
      <c r="C5" s="90">
        <f>BS!C22/BS!C50</f>
        <v>1.2247739450056681</v>
      </c>
      <c r="D5" s="91">
        <f>Norm!C28/BS!C50</f>
        <v>0.96392013693183332</v>
      </c>
      <c r="E5" s="90">
        <f>BS!D22/BS!D50</f>
        <v>1.2882930445172442</v>
      </c>
    </row>
    <row r="6" spans="1:5">
      <c r="A6" s="87" t="s">
        <v>239</v>
      </c>
      <c r="B6" s="90">
        <f>(BS!B17+BS!B18+BS!B19)/BS!B50</f>
        <v>1.1140270723361441</v>
      </c>
      <c r="C6" s="91">
        <f>(BS!C17+BS!C18+BS!C19)/BS!C50</f>
        <v>1.1293555955026535</v>
      </c>
      <c r="D6" s="91">
        <f>(BS!C17+Norm!C26)/BS!C50</f>
        <v>0.90667572331854407</v>
      </c>
      <c r="E6" s="91">
        <f>(BS!D17+BS!D18+BS!D19)/BS!D50</f>
        <v>1.1791860704264665</v>
      </c>
    </row>
    <row r="7" spans="1:5">
      <c r="A7" s="87" t="s">
        <v>240</v>
      </c>
      <c r="B7" s="90">
        <f>(BS!B18+BS!B19)/BS!B50</f>
        <v>1.0318655095386791</v>
      </c>
      <c r="C7" s="91">
        <f>(BS!C18+BS!C19)/BS!C50</f>
        <v>1.015086884937906</v>
      </c>
      <c r="D7" s="91">
        <f>Norm!C26/BS!C50</f>
        <v>0.79240701275379666</v>
      </c>
      <c r="E7" s="91">
        <f>(BS!D18+BS!D19)/BS!D50</f>
        <v>1.0626404783241026</v>
      </c>
    </row>
    <row r="9" spans="1:5">
      <c r="A9" s="8" t="s">
        <v>241</v>
      </c>
      <c r="B9" s="7"/>
      <c r="C9" s="7"/>
      <c r="D9" s="7"/>
      <c r="E9" s="7"/>
    </row>
    <row r="11" spans="1:5">
      <c r="A11" s="87" t="s">
        <v>242</v>
      </c>
      <c r="B11" s="22">
        <f>(PL!B5-PL!B11-PL!B12)/PL!B5</f>
        <v>0.59030265768752754</v>
      </c>
      <c r="C11" s="92">
        <f>(PL!C5-PL!C11-PL!C12)/PL!C5</f>
        <v>0.57160598725269174</v>
      </c>
      <c r="D11" s="92" t="s">
        <v>243</v>
      </c>
      <c r="E11" s="92">
        <f>(PL!D5-PL!D11-PL!D12)/PL!D5</f>
        <v>0.57757193187823697</v>
      </c>
    </row>
    <row r="12" spans="1:5">
      <c r="A12" s="87" t="s">
        <v>244</v>
      </c>
      <c r="B12" s="22">
        <f>PL!B19/PL!B5</f>
        <v>0.22180312503100519</v>
      </c>
      <c r="C12" s="22">
        <f>PL!C19/PL!C5</f>
        <v>0.22626165750014771</v>
      </c>
      <c r="D12" s="22"/>
      <c r="E12" s="22">
        <f>PL!D19/PL!D5</f>
        <v>0.22580433589815521</v>
      </c>
    </row>
    <row r="13" spans="1:5">
      <c r="A13" s="87" t="s">
        <v>245</v>
      </c>
      <c r="B13" s="22">
        <f>(PL!B20)/PL!B5</f>
        <v>0.29735229974071642</v>
      </c>
      <c r="C13" s="22">
        <f>(PL!C20)/PL!C5</f>
        <v>0.29743493060017667</v>
      </c>
      <c r="D13" s="22"/>
      <c r="E13" s="22">
        <f>(PL!D20)/PL!D5</f>
        <v>0.29485959550840968</v>
      </c>
    </row>
    <row r="14" spans="1:5"/>
    <row r="15" spans="1:5">
      <c r="A15" s="8" t="s">
        <v>246</v>
      </c>
      <c r="B15" s="7"/>
      <c r="C15" s="7"/>
      <c r="D15" s="7"/>
      <c r="E15" s="7"/>
    </row>
    <row r="16" spans="1:5"/>
    <row r="17" spans="1:5">
      <c r="A17" s="87" t="s">
        <v>247</v>
      </c>
      <c r="B17" s="88">
        <f>(BS!B17/PL!B5)*365</f>
        <v>5.0296891639041101</v>
      </c>
      <c r="C17" s="89">
        <f>(BS!C17/PL!C5)*365</f>
        <v>8.2088150283747581</v>
      </c>
      <c r="D17" s="89"/>
      <c r="E17" s="89">
        <f>(BS!D17/PL!D5)*365</f>
        <v>8.7739538311863594</v>
      </c>
    </row>
    <row r="18" spans="1:5">
      <c r="A18" s="87" t="s">
        <v>248</v>
      </c>
      <c r="B18" s="88">
        <f>(BS!B16/PL!B11)*365</f>
        <v>16.563674074641238</v>
      </c>
      <c r="C18" s="89">
        <f>(BS!C16/PL!C11)*365</f>
        <v>14.392947571419084</v>
      </c>
      <c r="D18" s="89"/>
      <c r="E18" s="89">
        <f>(BS!D16/PL!D11)*365</f>
        <v>16.49615023243669</v>
      </c>
    </row>
    <row r="19" spans="1:5">
      <c r="A19" s="87" t="s">
        <v>249</v>
      </c>
      <c r="B19" s="35">
        <f>((BS!B44+BS!B45)/PL!B11)*365</f>
        <v>29.743618915420161</v>
      </c>
      <c r="C19" s="35">
        <f>((BS!C44+BS!C45)/PL!C11)*365</f>
        <v>27.179018466906609</v>
      </c>
      <c r="D19" s="35"/>
      <c r="E19" s="35">
        <f>((BS!D44+BS!D45)/PL!D11)*365</f>
        <v>19.924508847770149</v>
      </c>
    </row>
    <row r="20" spans="1:5">
      <c r="A20" s="87" t="s">
        <v>250</v>
      </c>
      <c r="B20" s="35">
        <f>B19+B18+B17</f>
        <v>51.336982153965508</v>
      </c>
      <c r="C20" s="35">
        <f t="shared" ref="C20:E20" si="0">C19+C18+C17</f>
        <v>49.780781066700449</v>
      </c>
      <c r="D20" s="35"/>
      <c r="E20" s="35">
        <f t="shared" si="0"/>
        <v>45.1946129113932</v>
      </c>
    </row>
    <row r="21" spans="1:5">
      <c r="A21" s="87" t="s">
        <v>251</v>
      </c>
      <c r="B21" s="90">
        <f>PL!B5/BS!B24</f>
        <v>0.84795151553919601</v>
      </c>
      <c r="C21" s="90">
        <f>PL!C5/BS!C24</f>
        <v>0.76176567063411449</v>
      </c>
      <c r="D21" s="91">
        <f>PL!C5/Norm!C30</f>
        <v>0.93348681832568858</v>
      </c>
      <c r="E21" s="90">
        <f>PL!D5/BS!D24</f>
        <v>0.76674221549192823</v>
      </c>
    </row>
    <row r="22" spans="1:5">
      <c r="A22" s="87" t="s">
        <v>252</v>
      </c>
      <c r="B22" s="90">
        <f>CF!B30/PL!B5</f>
        <v>-0.11350276211925897</v>
      </c>
      <c r="C22" s="90">
        <f>CF!C30/PL!C5</f>
        <v>-0.25752757066704207</v>
      </c>
      <c r="D22" s="90"/>
      <c r="E22" s="90">
        <f>CF!D30/PL!D5</f>
        <v>-0.15904696242455582</v>
      </c>
    </row>
    <row r="23" spans="1:5"/>
    <row r="24" spans="1:5">
      <c r="A24" s="8" t="s">
        <v>253</v>
      </c>
      <c r="B24" s="7"/>
      <c r="C24" s="7"/>
      <c r="D24" s="7"/>
      <c r="E24" s="7"/>
    </row>
    <row r="25" spans="1:5">
      <c r="A25" s="8"/>
      <c r="B25" s="7"/>
      <c r="C25" s="7"/>
      <c r="D25" s="7"/>
      <c r="E25" s="7"/>
    </row>
    <row r="26" spans="1:5">
      <c r="A26" s="87" t="s">
        <v>254</v>
      </c>
      <c r="B26" s="90">
        <f>BS!B55/BS!B30</f>
        <v>0.34928818503643905</v>
      </c>
      <c r="C26" s="90">
        <f>BS!C55/BS!C30</f>
        <v>0.38238999825348391</v>
      </c>
      <c r="D26" s="91">
        <f>Norm!C45/BS!C30</f>
        <v>0.45458593066616293</v>
      </c>
      <c r="E26" s="90">
        <f>BS!D55/BS!D30</f>
        <v>0.30528145516155514</v>
      </c>
    </row>
    <row r="27" spans="1:5">
      <c r="A27" s="87" t="s">
        <v>255</v>
      </c>
      <c r="B27" s="90" t="s">
        <v>243</v>
      </c>
      <c r="C27" s="91">
        <f>BS!C55/Norm!C30</f>
        <v>0.28277186107565722</v>
      </c>
      <c r="D27" s="91">
        <f>Norm!C45/Norm!C30</f>
        <v>0.33615970663560479</v>
      </c>
      <c r="E27" s="91" t="s">
        <v>243</v>
      </c>
    </row>
    <row r="28" spans="1:5">
      <c r="A28" s="87" t="s">
        <v>256</v>
      </c>
      <c r="B28" s="90">
        <f>BS!B55/PL!B20</f>
        <v>0.85583150965373622</v>
      </c>
      <c r="C28" s="90">
        <f>BS!C55/PL!C20</f>
        <v>1.0184413642494954</v>
      </c>
      <c r="D28" s="91">
        <f>Norm!C45/PL!C20</f>
        <v>1.2107249601475565</v>
      </c>
      <c r="E28" s="90">
        <f>BS!D55/PL!D20</f>
        <v>0.8622248274093276</v>
      </c>
    </row>
    <row r="29" spans="1:5" ht="15" customHeight="1">
      <c r="B29" s="90"/>
      <c r="C29" s="90"/>
      <c r="D29" s="90"/>
      <c r="E29" s="90"/>
    </row>
    <row r="30" spans="1:5">
      <c r="A30" s="8" t="s">
        <v>257</v>
      </c>
      <c r="B30" s="94"/>
      <c r="C30" s="94"/>
      <c r="D30" s="94"/>
      <c r="E30" s="94"/>
    </row>
    <row r="31" spans="1:5">
      <c r="A31" s="87" t="s">
        <v>258</v>
      </c>
      <c r="B31" s="90">
        <f>PL!B19/PL!B14</f>
        <v>8.2109464878171678</v>
      </c>
      <c r="C31" s="90">
        <f>PL!C19/PL!C14</f>
        <v>9.4939299256044816</v>
      </c>
      <c r="D31" s="90"/>
      <c r="E31" s="90">
        <f>PL!D19/PL!D14</f>
        <v>11.17248390693665</v>
      </c>
    </row>
    <row r="32" spans="1:5">
      <c r="A32" s="87" t="s">
        <v>259</v>
      </c>
      <c r="B32" s="90"/>
      <c r="C32" s="91">
        <f>(PL!C20-PL!C27)/Cover!B42</f>
        <v>8.2354990567801369</v>
      </c>
      <c r="D32" s="91"/>
      <c r="E32" s="91" t="s">
        <v>243</v>
      </c>
    </row>
    <row r="3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2026-06-25T09:27:52Z</dcterms:created>
  <dcterms:modified xsi:type="dcterms:W3CDTF">2026-06-25T18:32:34Z</dcterms:modified>
  <cp:category/>
  <cp:contentStatus/>
</cp:coreProperties>
</file>